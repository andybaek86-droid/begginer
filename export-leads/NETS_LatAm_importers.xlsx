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메일 발송용" sheetId="2" state="visible" r:id="rId4"/>
    <sheet name="바이어 리스트" sheetId="3" state="visible" r:id="rId5"/>
    <sheet name="국가별 진입 노트" sheetId="4" state="visible" r:id="rId6"/>
  </sheets>
  <definedNames>
    <definedName function="false" hidden="true" localSheetId="1" name="_xlnm._FilterDatabase" vbProcedure="false">'메일 발송용'!$A$1:$E$140</definedName>
    <definedName function="false" hidden="true" localSheetId="2" name="_xlnm._FilterDatabase" vbProcedure="false">'바이어 리스트'!$A$1:$S$106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<sst xmlns="http://schemas.openxmlformats.org/spreadsheetml/2006/main" count="2159" uniqueCount="1080">
  <si>
    <r>
      <rPr>
        <b val="true"/>
        <sz val="14"/>
        <rFont val="Arial"/>
        <family val="0"/>
        <charset val="1"/>
      </rPr>
      <t xml:space="preserve">NETS(ACOM) </t>
    </r>
    <r>
      <rPr>
        <b val="true"/>
        <sz val="14"/>
        <rFont val="WenQuanYi Zen Hei"/>
        <family val="2"/>
      </rPr>
      <t xml:space="preserve">라벨저울 – 스페인어권 비유럽 수입상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WenQuanYi Zen Hei"/>
        <family val="2"/>
      </rPr>
      <t xml:space="preserve">유통사 리스트</t>
    </r>
  </si>
  <si>
    <r>
      <rPr>
        <i val="true"/>
        <sz val="9"/>
        <color rgb="FF808080"/>
        <rFont val="WenQuanYi Zen Hei"/>
        <family val="2"/>
      </rPr>
      <t xml:space="preserve">조사일</t>
    </r>
    <r>
      <rPr>
        <i val="true"/>
        <sz val="9"/>
        <color rgb="FF808080"/>
        <rFont val="Arial"/>
        <family val="0"/>
        <charset val="1"/>
      </rPr>
      <t xml:space="preserve">: 2026-10-08 · </t>
    </r>
    <r>
      <rPr>
        <i val="true"/>
        <sz val="9"/>
        <color rgb="FF808080"/>
        <rFont val="WenQuanYi Zen Hei"/>
        <family val="2"/>
      </rPr>
      <t xml:space="preserve">웹 검색 결과 기반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업체 사이트 직접 접속 불가</t>
    </r>
    <r>
      <rPr>
        <i val="true"/>
        <sz val="9"/>
        <color rgb="FF808080"/>
        <rFont val="Arial"/>
        <family val="0"/>
        <charset val="1"/>
      </rPr>
      <t xml:space="preserve">) – </t>
    </r>
    <r>
      <rPr>
        <i val="true"/>
        <sz val="9"/>
        <color rgb="FF808080"/>
        <rFont val="WenQuanYi Zen Hei"/>
        <family val="2"/>
      </rPr>
      <t xml:space="preserve">연락 전 반드시 최신 연락처 재확인</t>
    </r>
  </si>
  <si>
    <t xml:space="preserve">우선순위 기준</t>
  </si>
  <si>
    <t xml:space="preserve">A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</si>
  <si>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컨택 – 라벨저울 판매 중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멀티브랜드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전환 가능</t>
    </r>
  </si>
  <si>
    <t xml:space="preserve">B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</si>
  <si>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– 관련 채널이나 브랜드 묶임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정보 부족</t>
    </r>
  </si>
  <si>
    <t xml:space="preserve">C</t>
  </si>
  <si>
    <r>
      <rPr>
        <sz val="10"/>
        <rFont val="WenQuanYi Zen Hei"/>
        <family val="2"/>
      </rPr>
      <t xml:space="preserve">참고 – 서비스업체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경쟁사 전속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미검증</t>
    </r>
  </si>
  <si>
    <t xml:space="preserve">국가별 집계</t>
  </si>
  <si>
    <t xml:space="preserve">국가</t>
  </si>
  <si>
    <t xml:space="preserve">전체</t>
  </si>
  <si>
    <t xml:space="preserve">이메일 보유</t>
  </si>
  <si>
    <t xml:space="preserve">멕시코</t>
  </si>
  <si>
    <t xml:space="preserve">과테말라</t>
  </si>
  <si>
    <t xml:space="preserve">엘살바도르</t>
  </si>
  <si>
    <t xml:space="preserve">온두라스</t>
  </si>
  <si>
    <t xml:space="preserve">니카라과</t>
  </si>
  <si>
    <t xml:space="preserve">코스타리카</t>
  </si>
  <si>
    <t xml:space="preserve">파나마</t>
  </si>
  <si>
    <t xml:space="preserve">콜롬비아</t>
  </si>
  <si>
    <t xml:space="preserve">에콰도르</t>
  </si>
  <si>
    <t xml:space="preserve">도미니카공화국</t>
  </si>
  <si>
    <t xml:space="preserve">베네수엘라</t>
  </si>
  <si>
    <t xml:space="preserve">푸에르토리코</t>
  </si>
  <si>
    <t xml:space="preserve">페루</t>
  </si>
  <si>
    <t xml:space="preserve">칠레</t>
  </si>
  <si>
    <t xml:space="preserve">볼리비아</t>
  </si>
  <si>
    <t xml:space="preserve">아르헨티나</t>
  </si>
  <si>
    <t xml:space="preserve">우루과이</t>
  </si>
  <si>
    <t xml:space="preserve">파라과이</t>
  </si>
  <si>
    <t xml:space="preserve">합계</t>
  </si>
  <si>
    <r>
      <rPr>
        <sz val="9"/>
        <color rgb="FF808080"/>
        <rFont val="WenQuanYi Zen Hei"/>
        <family val="2"/>
      </rPr>
      <t xml:space="preserve">메일 발송</t>
    </r>
    <r>
      <rPr>
        <sz val="9"/>
        <color rgb="FF808080"/>
        <rFont val="Arial"/>
        <family val="0"/>
        <charset val="1"/>
      </rPr>
      <t xml:space="preserve">: '</t>
    </r>
    <r>
      <rPr>
        <sz val="9"/>
        <color rgb="FF808080"/>
        <rFont val="WenQuanYi Zen Hei"/>
        <family val="2"/>
      </rPr>
      <t xml:space="preserve">메일 발송용</t>
    </r>
    <r>
      <rPr>
        <sz val="9"/>
        <color rgb="FF808080"/>
        <rFont val="Arial"/>
        <family val="0"/>
        <charset val="1"/>
      </rPr>
      <t xml:space="preserve">' </t>
    </r>
    <r>
      <rPr>
        <sz val="9"/>
        <color rgb="FF808080"/>
        <rFont val="WenQuanYi Zen Hei"/>
        <family val="2"/>
      </rPr>
      <t xml:space="preserve">시트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이메일 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개당 </t>
    </r>
    <r>
      <rPr>
        <sz val="9"/>
        <color rgb="FF808080"/>
        <rFont val="Arial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행</t>
    </r>
    <r>
      <rPr>
        <sz val="9"/>
        <color rgb="FF808080"/>
        <rFont val="Arial"/>
        <family val="0"/>
        <charset val="1"/>
      </rPr>
      <t xml:space="preserve">, </t>
    </r>
    <r>
      <rPr>
        <sz val="9"/>
        <color rgb="FF808080"/>
        <rFont val="WenQuanYi Zen Hei"/>
        <family val="2"/>
      </rPr>
      <t xml:space="preserve">메일머지용</t>
    </r>
    <r>
      <rPr>
        <sz val="9"/>
        <color rgb="FF808080"/>
        <rFont val="Arial"/>
        <family val="0"/>
        <charset val="1"/>
      </rPr>
      <t xml:space="preserve">). </t>
    </r>
    <r>
      <rPr>
        <sz val="9"/>
        <color rgb="FF808080"/>
        <rFont val="WenQuanYi Zen Hei"/>
        <family val="2"/>
      </rPr>
      <t xml:space="preserve">영업 진행 기록</t>
    </r>
    <r>
      <rPr>
        <sz val="9"/>
        <color rgb="FF808080"/>
        <rFont val="Arial"/>
        <family val="0"/>
        <charset val="1"/>
      </rPr>
      <t xml:space="preserve">: '</t>
    </r>
    <r>
      <rPr>
        <sz val="9"/>
        <color rgb="FF808080"/>
        <rFont val="WenQuanYi Zen Hei"/>
        <family val="2"/>
      </rPr>
      <t xml:space="preserve">바이어 리스트</t>
    </r>
    <r>
      <rPr>
        <sz val="9"/>
        <color rgb="FF808080"/>
        <rFont val="Arial"/>
        <family val="0"/>
        <charset val="1"/>
      </rPr>
      <t xml:space="preserve">' </t>
    </r>
    <r>
      <rPr>
        <sz val="9"/>
        <color rgb="FF808080"/>
        <rFont val="WenQuanYi Zen Hei"/>
        <family val="2"/>
      </rPr>
      <t xml:space="preserve">시트 오른쪽 노란색 열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컨택일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상태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담당자</t>
    </r>
    <r>
      <rPr>
        <sz val="9"/>
        <color rgb="FF808080"/>
        <rFont val="Arial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메모</t>
    </r>
    <r>
      <rPr>
        <sz val="9"/>
        <color rgb="FF808080"/>
        <rFont val="Arial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에 직접 입력하세요</t>
    </r>
    <r>
      <rPr>
        <sz val="9"/>
        <color rgb="FF808080"/>
        <rFont val="Arial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상태는 드롭다운 선택</t>
    </r>
    <r>
      <rPr>
        <sz val="9"/>
        <color rgb="FF808080"/>
        <rFont val="Arial"/>
        <family val="0"/>
        <charset val="1"/>
      </rPr>
      <t xml:space="preserve">.</t>
    </r>
  </si>
  <si>
    <t xml:space="preserve">우선순위</t>
  </si>
  <si>
    <t xml:space="preserve">회사명</t>
  </si>
  <si>
    <t xml:space="preserve">이메일</t>
  </si>
  <si>
    <t xml:space="preserve">대표 주소 여부</t>
  </si>
  <si>
    <t xml:space="preserve">Inter-Americana</t>
  </si>
  <si>
    <t xml:space="preserve">ventas@inter-americana.com</t>
  </si>
  <si>
    <t xml:space="preserve">대표</t>
  </si>
  <si>
    <t xml:space="preserve">Azocar Nicaragua</t>
  </si>
  <si>
    <t xml:space="preserve">info@azocarnicaragua.com</t>
  </si>
  <si>
    <t xml:space="preserve">Serpoca</t>
  </si>
  <si>
    <t xml:space="preserve">ventas@serpoca.com.do</t>
  </si>
  <si>
    <t xml:space="preserve">info@serpoca.com.do</t>
  </si>
  <si>
    <t xml:space="preserve">Noscom</t>
  </si>
  <si>
    <t xml:space="preserve">contacto@noscom.mx</t>
  </si>
  <si>
    <t xml:space="preserve">Básculas Mexicanas S.A. de C.V. (Básculas IBN)</t>
  </si>
  <si>
    <t xml:space="preserve">ventas@basculasibn.com</t>
  </si>
  <si>
    <t xml:space="preserve">Rhino Maquinaria S.A. de C.V.</t>
  </si>
  <si>
    <t xml:space="preserve">info@rhino.mx</t>
  </si>
  <si>
    <t xml:space="preserve">CAS – Computer &amp; Sensors SRL</t>
  </si>
  <si>
    <t xml:space="preserve">info@cas-bo.com</t>
  </si>
  <si>
    <t xml:space="preserve">ventas@cas-bo.com</t>
  </si>
  <si>
    <t xml:space="preserve">Exim SRL</t>
  </si>
  <si>
    <t xml:space="preserve">info@exim.com.bo</t>
  </si>
  <si>
    <t xml:space="preserve">Grupo Hasar (Hasar Sistemas SRL)</t>
  </si>
  <si>
    <t xml:space="preserve">info@hasar.com</t>
  </si>
  <si>
    <t xml:space="preserve">La Competencia S.A.</t>
  </si>
  <si>
    <t xml:space="preserve">ventas@competencia.com.ec</t>
  </si>
  <si>
    <t xml:space="preserve">marketing@competencia.com.ec</t>
  </si>
  <si>
    <t xml:space="preserve">Puntos de Venta El Salvador</t>
  </si>
  <si>
    <t xml:space="preserve">info@puntosdeventa.com.sv</t>
  </si>
  <si>
    <t xml:space="preserve">IMERCO Honduras</t>
  </si>
  <si>
    <t xml:space="preserve">ventas@imercohn.net</t>
  </si>
  <si>
    <t xml:space="preserve">Inter-Americana Honduras</t>
  </si>
  <si>
    <t xml:space="preserve">ventashn@inter-americana.com</t>
  </si>
  <si>
    <t xml:space="preserve">Baudin Equipamientos</t>
  </si>
  <si>
    <t xml:space="preserve">ventas@baudinequipamientos.com</t>
  </si>
  <si>
    <t xml:space="preserve">gerencia@baudinequipamientos.com</t>
  </si>
  <si>
    <t xml:space="preserve">Ser-Tec</t>
  </si>
  <si>
    <t xml:space="preserve">ventas@ser-tec.com.uy</t>
  </si>
  <si>
    <t xml:space="preserve">info@ser-tec.com.uy</t>
  </si>
  <si>
    <t xml:space="preserve">Tecno Rebas</t>
  </si>
  <si>
    <t xml:space="preserve">ventas@tecnorebas.cl</t>
  </si>
  <si>
    <t xml:space="preserve">Ing Métrica SpA</t>
  </si>
  <si>
    <t xml:space="preserve">contacto@ingmetrica.cl</t>
  </si>
  <si>
    <t xml:space="preserve">Balanzas.cl</t>
  </si>
  <si>
    <t xml:space="preserve">contacto@balanzas.cl</t>
  </si>
  <si>
    <t xml:space="preserve">Nexius</t>
  </si>
  <si>
    <t xml:space="preserve">eguerrero@nexius.tools</t>
  </si>
  <si>
    <t xml:space="preserve">melramos@nexius.tools</t>
  </si>
  <si>
    <t xml:space="preserve">Romanas Azocar</t>
  </si>
  <si>
    <t xml:space="preserve">info@azocarcr.com</t>
  </si>
  <si>
    <t xml:space="preserve">BBG Colombia SAS (Básculas y Balanzas Guadalupe)</t>
  </si>
  <si>
    <t xml:space="preserve">ventas@basculasbbg.com</t>
  </si>
  <si>
    <t xml:space="preserve">distribuidoresmedellin@basculasbbg.com</t>
  </si>
  <si>
    <t xml:space="preserve">medellin@basculasbbg.com</t>
  </si>
  <si>
    <t xml:space="preserve">info@basculasbbg.com</t>
  </si>
  <si>
    <t xml:space="preserve">Badecol (Balanzas de Colombia)</t>
  </si>
  <si>
    <t xml:space="preserve">ventas@badecol.com</t>
  </si>
  <si>
    <t xml:space="preserve">comercial@badecol.com</t>
  </si>
  <si>
    <t xml:space="preserve">exportaciones@badecol.com</t>
  </si>
  <si>
    <t xml:space="preserve">STH Panamá</t>
  </si>
  <si>
    <t xml:space="preserve">ventas@sthpanama.com</t>
  </si>
  <si>
    <t xml:space="preserve">Balanzas Paraguayas S.A. (Balpar)</t>
  </si>
  <si>
    <t xml:space="preserve">licitaciones@balpar.com.py</t>
  </si>
  <si>
    <t xml:space="preserve">HPTI Sistemas y Equipamientos</t>
  </si>
  <si>
    <t xml:space="preserve">licitaciones@hpti.com.py</t>
  </si>
  <si>
    <t xml:space="preserve">Gufra Perú</t>
  </si>
  <si>
    <t xml:space="preserve">ventas@gufraperu.com</t>
  </si>
  <si>
    <t xml:space="preserve">administracion@gufraperu.com</t>
  </si>
  <si>
    <t xml:space="preserve">Invercorp Perú</t>
  </si>
  <si>
    <t xml:space="preserve">ventas@invercorp-peru.com</t>
  </si>
  <si>
    <t xml:space="preserve">Miyake</t>
  </si>
  <si>
    <t xml:space="preserve">info@miyake.com.pe</t>
  </si>
  <si>
    <t xml:space="preserve">asistente@miyake.com.pe</t>
  </si>
  <si>
    <t xml:space="preserve">Soluciones Exactas S.A.</t>
  </si>
  <si>
    <t xml:space="preserve">krosales@soluciones-exactas.com</t>
  </si>
  <si>
    <t xml:space="preserve">PKM Industrial S.A.</t>
  </si>
  <si>
    <t xml:space="preserve">administracion@pkm-gua.com</t>
  </si>
  <si>
    <t xml:space="preserve">Servitebb</t>
  </si>
  <si>
    <t xml:space="preserve">servicioespecializado@servitebb.com</t>
  </si>
  <si>
    <t xml:space="preserve">Servibásculas S.A.</t>
  </si>
  <si>
    <t xml:space="preserve">ventas@servibasculas.com</t>
  </si>
  <si>
    <t xml:space="preserve">Baserna (Balanzas y Servicios Nacionales)</t>
  </si>
  <si>
    <t xml:space="preserve">serviciosbaserna@gmail.com</t>
  </si>
  <si>
    <t xml:space="preserve">Balanzas Industriales S.R.L.</t>
  </si>
  <si>
    <t xml:space="preserve">info@balanzasindustriales.com</t>
  </si>
  <si>
    <t xml:space="preserve">asistente@balanzasindustriales.com</t>
  </si>
  <si>
    <t xml:space="preserve">Balanza Del Caribe</t>
  </si>
  <si>
    <t xml:space="preserve">balanzadelcaribe@gmail.com</t>
  </si>
  <si>
    <t xml:space="preserve">Microdatanorte / MR Tienda</t>
  </si>
  <si>
    <t xml:space="preserve">ventas@microdatanorte.com.mx</t>
  </si>
  <si>
    <t xml:space="preserve">Grupo Mexba</t>
  </si>
  <si>
    <t xml:space="preserve">ventas@mexba.com.mx</t>
  </si>
  <si>
    <t xml:space="preserve">gmexba@gmail.com</t>
  </si>
  <si>
    <t xml:space="preserve">Asesoría Integral de Básculas (AIBSA)</t>
  </si>
  <si>
    <t xml:space="preserve">areacomercial@aibasculas.com</t>
  </si>
  <si>
    <t xml:space="preserve">Sistemas Digitales MX</t>
  </si>
  <si>
    <t xml:space="preserve">german.reyn@sistemas-digitales-mx.com</t>
  </si>
  <si>
    <t xml:space="preserve">Básculas Internacionales de México (BIM)</t>
  </si>
  <si>
    <t xml:space="preserve">ventas.tij@basculasint.com</t>
  </si>
  <si>
    <t xml:space="preserve">Xacta Servicios C.A. (Industrias Metarmes)</t>
  </si>
  <si>
    <t xml:space="preserve">balanzas@xacta.com.ve</t>
  </si>
  <si>
    <t xml:space="preserve">Hitech 2023</t>
  </si>
  <si>
    <t xml:space="preserve">ventas@hitech2023.com</t>
  </si>
  <si>
    <t xml:space="preserve">Batvenca</t>
  </si>
  <si>
    <t xml:space="preserve">ventas@batvenca.com</t>
  </si>
  <si>
    <t xml:space="preserve">Balanzas Lara</t>
  </si>
  <si>
    <t xml:space="preserve">ventas@balanzaslara.com</t>
  </si>
  <si>
    <t xml:space="preserve">servicios@balanzaslara.com</t>
  </si>
  <si>
    <t xml:space="preserve">Laser Print Soluciones</t>
  </si>
  <si>
    <t xml:space="preserve">ventas@laserprintsoluciones.com</t>
  </si>
  <si>
    <t xml:space="preserve">info@laserprintsoluciones.com</t>
  </si>
  <si>
    <t xml:space="preserve">Pesotodo SRL</t>
  </si>
  <si>
    <t xml:space="preserve">ventas@pesotodo.com</t>
  </si>
  <si>
    <t xml:space="preserve">Zelada Precision SRL</t>
  </si>
  <si>
    <t xml:space="preserve">gzelada@zeladaprecision.com</t>
  </si>
  <si>
    <t xml:space="preserve">FDC Soluciones SRL</t>
  </si>
  <si>
    <t xml:space="preserve">info@fdcsoluciones.com</t>
  </si>
  <si>
    <t xml:space="preserve">Posvent</t>
  </si>
  <si>
    <t xml:space="preserve">info@posventar.com</t>
  </si>
  <si>
    <t xml:space="preserve">Balanzas Kyaserv</t>
  </si>
  <si>
    <t xml:space="preserve">info@kyaserv.com.ar</t>
  </si>
  <si>
    <t xml:space="preserve">info@balanza.com.ar</t>
  </si>
  <si>
    <t xml:space="preserve">Digital Crams</t>
  </si>
  <si>
    <t xml:space="preserve">info@dcrams.com.ar</t>
  </si>
  <si>
    <t xml:space="preserve">STEC Soluciones Tecnológicas</t>
  </si>
  <si>
    <t xml:space="preserve">ventas@stec.com.ar</t>
  </si>
  <si>
    <t xml:space="preserve">Electrónica Casio</t>
  </si>
  <si>
    <t xml:space="preserve">ventasbalanzascas@electronicacasio.com.ec</t>
  </si>
  <si>
    <t xml:space="preserve">Ingelsoft</t>
  </si>
  <si>
    <t xml:space="preserve">info@ingelsoft.com</t>
  </si>
  <si>
    <t xml:space="preserve">Básculas y Balanzas S.A. de C.V.</t>
  </si>
  <si>
    <t xml:space="preserve">info@basculasybalanzassv.com</t>
  </si>
  <si>
    <t xml:space="preserve">Exactos Equipos</t>
  </si>
  <si>
    <t xml:space="preserve">exactosequipos@gmail.com</t>
  </si>
  <si>
    <t xml:space="preserve">IPESAH</t>
  </si>
  <si>
    <t xml:space="preserve">cotizaciones@ipesah.com</t>
  </si>
  <si>
    <t xml:space="preserve">RR Inversiones</t>
  </si>
  <si>
    <t xml:space="preserve">info@rrinversiones.com</t>
  </si>
  <si>
    <t xml:space="preserve">Balanzas Larynco</t>
  </si>
  <si>
    <t xml:space="preserve">reparaciones@balanzaslarynco.com.uy</t>
  </si>
  <si>
    <t xml:space="preserve">Precision (precision.tech)</t>
  </si>
  <si>
    <t xml:space="preserve">contactanos_chile@precision.tech</t>
  </si>
  <si>
    <t xml:space="preserve">Maqequipos</t>
  </si>
  <si>
    <t xml:space="preserve">ventas@maq-equipos.cl</t>
  </si>
  <si>
    <t xml:space="preserve">Reproma</t>
  </si>
  <si>
    <t xml:space="preserve">info@reproma.com</t>
  </si>
  <si>
    <t xml:space="preserve">Importadora Torrey</t>
  </si>
  <si>
    <t xml:space="preserve">bogota@importadoratorrey.com</t>
  </si>
  <si>
    <t xml:space="preserve">Básculas Bil</t>
  </si>
  <si>
    <t xml:space="preserve">basculasbil@gmail.com</t>
  </si>
  <si>
    <t xml:space="preserve">basculasyequiposbil@gmail.com</t>
  </si>
  <si>
    <t xml:space="preserve">bilvalledupar@gmail.com</t>
  </si>
  <si>
    <t xml:space="preserve">Distriequipos Bogotá</t>
  </si>
  <si>
    <t xml:space="preserve">ventas@distriequiposbogota.com</t>
  </si>
  <si>
    <t xml:space="preserve">calidad@distriequiposbogota.com</t>
  </si>
  <si>
    <t xml:space="preserve">Impoventas Colombia</t>
  </si>
  <si>
    <t xml:space="preserve">comercial1@impoventas.com.co</t>
  </si>
  <si>
    <t xml:space="preserve">comercial2@impoventas.com.co</t>
  </si>
  <si>
    <t xml:space="preserve">info@impoventas.com.co</t>
  </si>
  <si>
    <t xml:space="preserve">Grupo Único Internacional (CPG Panamá)</t>
  </si>
  <si>
    <t xml:space="preserve">ventas@cpgpanama.com</t>
  </si>
  <si>
    <t xml:space="preserve">cpg507@outlook.com</t>
  </si>
  <si>
    <t xml:space="preserve">Posper Panamá</t>
  </si>
  <si>
    <t xml:space="preserve">ventas@posperpanama.com</t>
  </si>
  <si>
    <t xml:space="preserve">ventas2@posperpanama.com</t>
  </si>
  <si>
    <t xml:space="preserve">La Casa de la Balanza Perú</t>
  </si>
  <si>
    <t xml:space="preserve">ventas@lacasadelabalanzaperu.com</t>
  </si>
  <si>
    <t xml:space="preserve">Balanzas Precisur</t>
  </si>
  <si>
    <t xml:space="preserve">ventas@balanzasprecisur.com</t>
  </si>
  <si>
    <t xml:space="preserve">Balanzas PE</t>
  </si>
  <si>
    <t xml:space="preserve">ventas@balanzas.pe</t>
  </si>
  <si>
    <t xml:space="preserve">SSM Foodservice Equipment / Scale Food Equipment &amp; Systems</t>
  </si>
  <si>
    <t xml:space="preserve">ssmfse@gmail.com</t>
  </si>
  <si>
    <t xml:space="preserve">ssmhse@gmail.com</t>
  </si>
  <si>
    <t xml:space="preserve">Probaza S.A.</t>
  </si>
  <si>
    <t xml:space="preserve">servicios@probazagt.com</t>
  </si>
  <si>
    <t xml:space="preserve">Básculas Rodríguez Nicaragua</t>
  </si>
  <si>
    <t xml:space="preserve">basculas.rodriguez@outlook.com</t>
  </si>
  <si>
    <t xml:space="preserve">Cereco / Equipos Torrey</t>
  </si>
  <si>
    <t xml:space="preserve">info@cereco.com.mx</t>
  </si>
  <si>
    <t xml:space="preserve">JL Rodríguez S.A. de C.V.</t>
  </si>
  <si>
    <t xml:space="preserve">contacto@jlrodriguez.com.mx</t>
  </si>
  <si>
    <t xml:space="preserve">JLRODRIGUEZTR@gmail.com</t>
  </si>
  <si>
    <t xml:space="preserve">Badimex</t>
  </si>
  <si>
    <t xml:space="preserve">info@badimex.mx</t>
  </si>
  <si>
    <t xml:space="preserve">Misrefris</t>
  </si>
  <si>
    <t xml:space="preserve">contacto@misrefris.com</t>
  </si>
  <si>
    <t xml:space="preserve">egarcia@misrefris.com</t>
  </si>
  <si>
    <t xml:space="preserve">Balanzas CAS Venezuela</t>
  </si>
  <si>
    <t xml:space="preserve">casmen.venta@gmail.com</t>
  </si>
  <si>
    <t xml:space="preserve">atccasmen@gmail.com</t>
  </si>
  <si>
    <t xml:space="preserve">casmen@sinabrosa.com</t>
  </si>
  <si>
    <t xml:space="preserve">Métrica Ltda</t>
  </si>
  <si>
    <t xml:space="preserve">info@metrica.com.bo</t>
  </si>
  <si>
    <t xml:space="preserve">comercial@metrica.com.bo</t>
  </si>
  <si>
    <t xml:space="preserve">Casa Schettini</t>
  </si>
  <si>
    <t xml:space="preserve">ventas@casaschettini.com</t>
  </si>
  <si>
    <t xml:space="preserve">Micro Power</t>
  </si>
  <si>
    <t xml:space="preserve">consultas@micro-power.com.ar</t>
  </si>
  <si>
    <t xml:space="preserve">Bizerba Argentina S.A.</t>
  </si>
  <si>
    <t xml:space="preserve">ar_ventas@bizerba.com</t>
  </si>
  <si>
    <t xml:space="preserve">Balanzas Vilanx</t>
  </si>
  <si>
    <t xml:space="preserve">contacto@vilanx.ec</t>
  </si>
  <si>
    <t xml:space="preserve">Espinosa Páez S.A.</t>
  </si>
  <si>
    <t xml:space="preserve">espauio@espinosapaez.com</t>
  </si>
  <si>
    <t xml:space="preserve">Balanzas Superior</t>
  </si>
  <si>
    <t xml:space="preserve">balanzasuperior@hotmail.com</t>
  </si>
  <si>
    <t xml:space="preserve">BABASE</t>
  </si>
  <si>
    <t xml:space="preserve">ventashn@babase.net</t>
  </si>
  <si>
    <t xml:space="preserve">administracion@babase.net</t>
  </si>
  <si>
    <t xml:space="preserve">servicioalcliente@babasehn.com</t>
  </si>
  <si>
    <t xml:space="preserve">Ferreservi</t>
  </si>
  <si>
    <t xml:space="preserve">info@ferreservi.com.uy</t>
  </si>
  <si>
    <t xml:space="preserve">Alton S.A.</t>
  </si>
  <si>
    <t xml:space="preserve">info@alton.com.uy</t>
  </si>
  <si>
    <t xml:space="preserve">Empack</t>
  </si>
  <si>
    <t xml:space="preserve">contacto@grupoempack.cl</t>
  </si>
  <si>
    <t xml:space="preserve">consulta@empack.cl</t>
  </si>
  <si>
    <t xml:space="preserve">Tecno Balanzas</t>
  </si>
  <si>
    <t xml:space="preserve">ventas@tecnobalanzas.cl</t>
  </si>
  <si>
    <t xml:space="preserve">Systel Chile</t>
  </si>
  <si>
    <t xml:space="preserve">contacto@systel-global.com</t>
  </si>
  <si>
    <t xml:space="preserve">Romanas Lacost S.A.</t>
  </si>
  <si>
    <t xml:space="preserve">info@romanaslacost.com</t>
  </si>
  <si>
    <t xml:space="preserve">multiservicioslacost@gmail.com</t>
  </si>
  <si>
    <t xml:space="preserve">CAS Latinoamérica</t>
  </si>
  <si>
    <t xml:space="preserve">comercial2@caslatinoamerica.com</t>
  </si>
  <si>
    <t xml:space="preserve">panama@caslatinoamerica.com</t>
  </si>
  <si>
    <t xml:space="preserve">info@caslatinoamerica.com</t>
  </si>
  <si>
    <t xml:space="preserve">Industrial Scales of Panama, S.A.</t>
  </si>
  <si>
    <t xml:space="preserve">balanzas@cableonda.net</t>
  </si>
  <si>
    <r>
      <rPr>
        <sz val="10"/>
        <rFont val="Arial"/>
        <family val="0"/>
        <charset val="1"/>
      </rPr>
      <t xml:space="preserve">CAS Latinoamérica S.A.S. (</t>
    </r>
    <r>
      <rPr>
        <sz val="10"/>
        <rFont val="WenQuanYi Zen Hei"/>
        <family val="2"/>
      </rPr>
      <t xml:space="preserve">파나마</t>
    </r>
    <r>
      <rPr>
        <sz val="10"/>
        <rFont val="Arial"/>
        <family val="0"/>
        <charset val="1"/>
      </rPr>
      <t xml:space="preserve">)</t>
    </r>
  </si>
  <si>
    <t xml:space="preserve">Ofimarket Paraguay</t>
  </si>
  <si>
    <t xml:space="preserve">ventas@ofimarket.com.py</t>
  </si>
  <si>
    <t xml:space="preserve">info@ofimarket.com.py</t>
  </si>
  <si>
    <t xml:space="preserve">Alvog S.A.</t>
  </si>
  <si>
    <t xml:space="preserve">alvog@rieder.net.py</t>
  </si>
  <si>
    <t xml:space="preserve">Pymatek</t>
  </si>
  <si>
    <t xml:space="preserve">ventas@pymatek.pe</t>
  </si>
  <si>
    <t xml:space="preserve">Super Business Machines (SBM)</t>
  </si>
  <si>
    <t xml:space="preserve">Infosbm5150@gmail.com</t>
  </si>
  <si>
    <t xml:space="preserve">PR Scale Services Inc</t>
  </si>
  <si>
    <t xml:space="preserve">prscale@gmail.com</t>
  </si>
  <si>
    <t xml:space="preserve">No</t>
  </si>
  <si>
    <t xml:space="preserve">도시</t>
  </si>
  <si>
    <t xml:space="preserve">웹사이트</t>
  </si>
  <si>
    <r>
      <rPr>
        <b val="true"/>
        <sz val="10"/>
        <color rgb="FFFFFFFF"/>
        <rFont val="WenQuanYi Zen Hei"/>
        <family val="2"/>
      </rPr>
      <t xml:space="preserve">전화</t>
    </r>
    <r>
      <rPr>
        <b val="true"/>
        <sz val="10"/>
        <color rgb="FFFFFFFF"/>
        <rFont val="Arial"/>
        <family val="0"/>
        <charset val="1"/>
      </rPr>
      <t xml:space="preserve">/WhatsApp</t>
    </r>
  </si>
  <si>
    <t xml:space="preserve">이메일 출처</t>
  </si>
  <si>
    <t xml:space="preserve">연락 메모</t>
  </si>
  <si>
    <r>
      <rPr>
        <b val="true"/>
        <sz val="10"/>
        <color rgb="FFFFFFFF"/>
        <rFont val="WenQuanYi Zen Hei"/>
        <family val="2"/>
      </rPr>
      <t xml:space="preserve">취급 브랜드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제품</t>
    </r>
  </si>
  <si>
    <t xml:space="preserve">유형</t>
  </si>
  <si>
    <r>
      <rPr>
        <b val="true"/>
        <sz val="10"/>
        <color rgb="FFFFFFFF"/>
        <rFont val="Arial"/>
        <family val="0"/>
        <charset val="1"/>
      </rPr>
      <t xml:space="preserve">NETS </t>
    </r>
    <r>
      <rPr>
        <b val="true"/>
        <sz val="10"/>
        <color rgb="FFFFFFFF"/>
        <rFont val="WenQuanYi Zen Hei"/>
        <family val="2"/>
      </rPr>
      <t xml:space="preserve">적합도</t>
    </r>
  </si>
  <si>
    <t xml:space="preserve">적합 사유</t>
  </si>
  <si>
    <r>
      <rPr>
        <b val="true"/>
        <sz val="10"/>
        <color rgb="FFFFFFFF"/>
        <rFont val="WenQuanYi Zen Hei"/>
        <family val="2"/>
      </rPr>
      <t xml:space="preserve">출처 </t>
    </r>
    <r>
      <rPr>
        <b val="true"/>
        <sz val="10"/>
        <color rgb="FFFFFFFF"/>
        <rFont val="Arial"/>
        <family val="0"/>
        <charset val="1"/>
      </rPr>
      <t xml:space="preserve">URL</t>
    </r>
  </si>
  <si>
    <t xml:space="preserve">컨택일</t>
  </si>
  <si>
    <t xml:space="preserve">상태</t>
  </si>
  <si>
    <t xml:space="preserve">담당자</t>
  </si>
  <si>
    <t xml:space="preserve">메모</t>
  </si>
  <si>
    <t xml:space="preserve">Tijuana / CDMX</t>
  </si>
  <si>
    <t xml:space="preserve">noscom.mx</t>
  </si>
  <si>
    <t xml:space="preserve">Tijuana (664) 647-5632; CDMX (55) 5208-8565; WA 663 208 8849</t>
  </si>
  <si>
    <r>
      <rPr>
        <sz val="10"/>
        <rFont val="WenQuanYi Zen Hei"/>
        <family val="2"/>
      </rPr>
      <t xml:space="preserve">기존 조사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회사 사이트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디렉토리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</si>
  <si>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SAM4s POS + CAS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(CN1, CL5200/5500)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</si>
  <si>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(POS+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)</t>
    </r>
  </si>
  <si>
    <t xml:space="preserve">상</t>
  </si>
  <si>
    <r>
      <rPr>
        <sz val="10"/>
        <rFont val="Arial"/>
        <family val="0"/>
        <charset val="1"/>
      </rPr>
      <t xml:space="preserve">POS+</t>
    </r>
    <r>
      <rPr>
        <sz val="10"/>
        <rFont val="WenQuanYi Zen Hei"/>
        <family val="2"/>
      </rPr>
      <t xml:space="preserve">라벨저울 번들 영업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이미 한국 브랜드</t>
    </r>
    <r>
      <rPr>
        <sz val="10"/>
        <rFont val="Arial"/>
        <family val="0"/>
        <charset val="1"/>
      </rPr>
      <t xml:space="preserve">(CAS) </t>
    </r>
    <r>
      <rPr>
        <sz val="10"/>
        <rFont val="WenQuanYi Zen Hei"/>
        <family val="2"/>
      </rPr>
      <t xml:space="preserve">취급 → 한국산 대안 제안 용이</t>
    </r>
  </si>
  <si>
    <t xml:space="preserve">https://www.noscom.mx/</t>
  </si>
  <si>
    <t xml:space="preserve">Monterrey, NL</t>
  </si>
  <si>
    <t xml:space="preserve">basculasibn.com</t>
  </si>
  <si>
    <t xml:space="preserve">+52 81 8129 6799 / 8129 6788; WA 81 8163 3310</t>
  </si>
  <si>
    <r>
      <rPr>
        <sz val="10"/>
        <rFont val="WenQuanYi Zen Hei"/>
        <family val="2"/>
      </rPr>
      <t xml:space="preserve">슈퍼마켓용 라벨저울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자체 </t>
    </r>
    <r>
      <rPr>
        <sz val="10"/>
        <rFont val="Arial"/>
        <family val="0"/>
        <charset val="1"/>
      </rPr>
      <t xml:space="preserve">e-tikket), DIGI, </t>
    </r>
    <r>
      <rPr>
        <sz val="10"/>
        <rFont val="WenQuanYi Zen Hei"/>
        <family val="2"/>
      </rPr>
      <t xml:space="preserve">포션저울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</si>
  <si>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딜러</t>
    </r>
  </si>
  <si>
    <r>
      <rPr>
        <sz val="10"/>
        <rFont val="WenQuanYi Zen Hei"/>
        <family val="2"/>
      </rPr>
      <t xml:space="preserve">슈퍼용 라벨저울 판매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멀티브랜드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한국 브랜드 없음</t>
    </r>
  </si>
  <si>
    <t xml:space="preserve">https://basculasibn.com/basculas-etiquetadoras/</t>
  </si>
  <si>
    <t xml:space="preserve">Atizapán, Edo. Méx.</t>
  </si>
  <si>
    <t xml:space="preserve">rhino.mx</t>
  </si>
  <si>
    <t xml:space="preserve">(55) 4429 0229; 800 377 8242</t>
  </si>
  <si>
    <r>
      <rPr>
        <sz val="10"/>
        <rFont val="WenQuanYi Zen Hei"/>
        <family val="2"/>
      </rPr>
      <t xml:space="preserve">자체 브랜드 </t>
    </r>
    <r>
      <rPr>
        <sz val="10"/>
        <rFont val="Arial"/>
        <family val="0"/>
        <charset val="1"/>
      </rPr>
      <t xml:space="preserve">Rhino(</t>
    </r>
    <r>
      <rPr>
        <sz val="10"/>
        <rFont val="WenQuanYi Zen Hei"/>
        <family val="2"/>
      </rPr>
      <t xml:space="preserve">수입 </t>
    </r>
    <r>
      <rPr>
        <sz val="10"/>
        <rFont val="Arial"/>
        <family val="0"/>
        <charset val="1"/>
      </rPr>
      <t xml:space="preserve">OEM), BAET-30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전국 서비스망</t>
    </r>
  </si>
  <si>
    <t xml:space="preserve">브랜드 수입사</t>
  </si>
  <si>
    <t xml:space="preserve">중상</t>
  </si>
  <si>
    <r>
      <rPr>
        <sz val="10"/>
        <rFont val="WenQuanYi Zen Hei"/>
        <family val="2"/>
      </rPr>
      <t xml:space="preserve">아시아산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자체브랜드 운영 → </t>
    </r>
    <r>
      <rPr>
        <sz val="10"/>
        <rFont val="Arial"/>
        <family val="0"/>
        <charset val="1"/>
      </rPr>
      <t xml:space="preserve">NETS OEM/ODM </t>
    </r>
    <r>
      <rPr>
        <sz val="10"/>
        <rFont val="WenQuanYi Zen Hei"/>
        <family val="2"/>
      </rPr>
      <t xml:space="preserve">파트너 가능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동시에 경쟁사</t>
    </r>
    <r>
      <rPr>
        <sz val="10"/>
        <rFont val="Arial"/>
        <family val="0"/>
        <charset val="1"/>
      </rPr>
      <t xml:space="preserve">)</t>
    </r>
  </si>
  <si>
    <t xml:space="preserve">https://www.rhino.mx/producto/bascula-etiquetadora-baet-30/</t>
  </si>
  <si>
    <t xml:space="preserve">Baja California, BCS</t>
  </si>
  <si>
    <t xml:space="preserve">microdatanorte.com.mx</t>
  </si>
  <si>
    <t xml:space="preserve">615 157 1230; WA 615 155 8228</t>
  </si>
  <si>
    <r>
      <rPr>
        <sz val="10"/>
        <rFont val="Arial"/>
        <family val="0"/>
        <charset val="1"/>
      </rPr>
      <t xml:space="preserve">POS SW/HW + CAS 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(CL5000/5500)</t>
    </r>
  </si>
  <si>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딜러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</si>
  <si>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라벨저울 파는 </t>
    </r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통합업체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지역 한정</t>
    </r>
  </si>
  <si>
    <t xml:space="preserve">http://www.microdatanorte.com.mx/basculas/</t>
  </si>
  <si>
    <r>
      <rPr>
        <sz val="10"/>
        <rFont val="Arial"/>
        <family val="0"/>
        <charset val="1"/>
      </rPr>
      <t xml:space="preserve">Estado de México (</t>
    </r>
    <r>
      <rPr>
        <sz val="10"/>
        <rFont val="WenQuanYi Zen Hei"/>
        <family val="2"/>
      </rPr>
      <t xml:space="preserve">전국 서비스</t>
    </r>
    <r>
      <rPr>
        <sz val="10"/>
        <rFont val="Arial"/>
        <family val="0"/>
        <charset val="1"/>
      </rPr>
      <t xml:space="preserve">)</t>
    </r>
  </si>
  <si>
    <t xml:space="preserve">mexba.com.mx</t>
  </si>
  <si>
    <t xml:space="preserve">ventas@mexba.com.mx; gmexba@gmail.com</t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</si>
  <si>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멕시코 독점 유통 표방</t>
    </r>
    <r>
      <rPr>
        <sz val="10"/>
        <rFont val="Arial"/>
        <family val="0"/>
        <charset val="1"/>
      </rPr>
      <t xml:space="preserve">(SM-120, SM-100H), 32</t>
    </r>
    <r>
      <rPr>
        <sz val="10"/>
        <rFont val="WenQuanYi Zen Hei"/>
        <family val="2"/>
      </rPr>
      <t xml:space="preserve">개 주 서비스</t>
    </r>
  </si>
  <si>
    <r>
      <rPr>
        <sz val="10"/>
        <rFont val="WenQuanYi Zen Hei"/>
        <family val="2"/>
      </rPr>
      <t xml:space="preserve">독점유통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서비스</t>
    </r>
  </si>
  <si>
    <t xml:space="preserve">중</t>
  </si>
  <si>
    <r>
      <rPr>
        <sz val="10"/>
        <rFont val="WenQuanYi Zen Hei"/>
        <family val="2"/>
      </rPr>
      <t xml:space="preserve">소매저울 채널 강력하나 </t>
    </r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묶임 → 세컨드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가격대 브랜드로 제안</t>
    </r>
  </si>
  <si>
    <t xml:space="preserve">https://mexba.com.mx/index.php</t>
  </si>
  <si>
    <t xml:space="preserve">Puebla</t>
  </si>
  <si>
    <t xml:space="preserve">aibasculas.com</t>
  </si>
  <si>
    <t xml:space="preserve">(222) 220 3051 / 220 0267 / 213 1159</t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</si>
  <si>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등 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</si>
  <si>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서비스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</si>
  <si>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경험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지역 업체</t>
    </r>
  </si>
  <si>
    <t xml:space="preserve">https://www.aibasculas.com/</t>
  </si>
  <si>
    <t xml:space="preserve">Baja California</t>
  </si>
  <si>
    <t xml:space="preserve">sistemas-digitales-mx.com</t>
  </si>
  <si>
    <t xml:space="preserve">664 238 7690; 664 103 7186</t>
  </si>
  <si>
    <r>
      <rPr>
        <sz val="10"/>
        <rFont val="Arial"/>
        <family val="0"/>
        <charset val="1"/>
      </rPr>
      <t xml:space="preserve">sistemas-digitales-mx.com (</t>
    </r>
    <r>
      <rPr>
        <sz val="10"/>
        <rFont val="WenQuanYi Zen Hei"/>
        <family val="2"/>
      </rPr>
      <t xml:space="preserve">메타데이터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신뢰도 낮음</t>
    </r>
    <r>
      <rPr>
        <sz val="10"/>
        <rFont val="Arial"/>
        <family val="0"/>
        <charset val="1"/>
      </rPr>
      <t xml:space="preserve">)</t>
    </r>
  </si>
  <si>
    <t xml:space="preserve">CAS CL-5200, CN1 + CL-Works</t>
  </si>
  <si>
    <t xml:space="preserve">딜러</t>
  </si>
  <si>
    <r>
      <rPr>
        <sz val="10"/>
        <rFont val="WenQuanYi Zen Hei"/>
        <family val="2"/>
      </rPr>
      <t xml:space="preserve">소규모 </t>
    </r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리셀러</t>
    </r>
  </si>
  <si>
    <t xml:space="preserve">https://sistemas-digitales-mx.com/bascula-electronica-digital-etiquetadora-cas-cl-5200/</t>
  </si>
  <si>
    <t xml:space="preserve">Tijuana, BC</t>
  </si>
  <si>
    <r>
      <rPr>
        <sz val="10"/>
        <rFont val="Arial"/>
        <family val="0"/>
        <charset val="1"/>
      </rPr>
      <t xml:space="preserve">664 120 5997; (</t>
    </r>
    <r>
      <rPr>
        <sz val="10"/>
        <rFont val="WenQuanYi Zen Hei"/>
        <family val="2"/>
      </rPr>
      <t xml:space="preserve">디렉토리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</si>
  <si>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저울 전반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전국 대리점망</t>
    </r>
  </si>
  <si>
    <t xml:space="preserve">유통</t>
  </si>
  <si>
    <r>
      <rPr>
        <sz val="10"/>
        <rFont val="WenQuanYi Zen Hei"/>
        <family val="2"/>
      </rPr>
      <t xml:space="preserve">전국 딜러망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디렉토리 정보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오래됐을 수 있음</t>
    </r>
    <r>
      <rPr>
        <sz val="10"/>
        <rFont val="Arial"/>
        <family val="0"/>
        <charset val="1"/>
      </rPr>
      <t xml:space="preserve">)</t>
    </r>
  </si>
  <si>
    <t xml:space="preserve">https://construex.com.mx/exhibidores/basculas_internacionales_de_mexico_bim</t>
  </si>
  <si>
    <t xml:space="preserve">CDMX, Puebla</t>
  </si>
  <si>
    <t xml:space="preserve">equipostorrey.com.mx</t>
  </si>
  <si>
    <t xml:space="preserve">55-2898-3775; WA 55-2724-1542</t>
  </si>
  <si>
    <r>
      <rPr>
        <sz val="10"/>
        <rFont val="Arial"/>
        <family val="0"/>
        <charset val="1"/>
      </rPr>
      <t xml:space="preserve">Torrey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(W-Label), </t>
    </r>
    <r>
      <rPr>
        <sz val="10"/>
        <rFont val="WenQuanYi Zen Hei"/>
        <family val="2"/>
      </rPr>
      <t xml:space="preserve">주방설비</t>
    </r>
  </si>
  <si>
    <t xml:space="preserve">중하</t>
  </si>
  <si>
    <r>
      <rPr>
        <sz val="10"/>
        <rFont val="Arial"/>
        <family val="0"/>
        <charset val="1"/>
      </rPr>
      <t xml:space="preserve">Torrey </t>
    </r>
    <r>
      <rPr>
        <sz val="10"/>
        <rFont val="WenQuanYi Zen Hei"/>
        <family val="2"/>
      </rPr>
      <t xml:space="preserve">충성 딜러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정육점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델리 판매</t>
    </r>
  </si>
  <si>
    <t xml:space="preserve">https://equipostorrey.com.mx/categoria-producto/pesaje/basculas-etiquetadoras/</t>
  </si>
  <si>
    <t xml:space="preserve">Guadalajara</t>
  </si>
  <si>
    <t xml:space="preserve">jlrodriguez.com.mx</t>
  </si>
  <si>
    <t xml:space="preserve">contacto@jlrodriguez.com.mx; JLRODRIGUEZTR@gmail.com</t>
  </si>
  <si>
    <t xml:space="preserve">33-3811-8047 / 8981 / 5348</t>
  </si>
  <si>
    <t xml:space="preserve">jlrodriguez.com.mx/contacto; construex</t>
  </si>
  <si>
    <t xml:space="preserve">WA +52 33 2236 2702</t>
  </si>
  <si>
    <r>
      <rPr>
        <sz val="10"/>
        <rFont val="Arial"/>
        <family val="0"/>
        <charset val="1"/>
      </rPr>
      <t xml:space="preserve">Torrey 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냉장설비</t>
    </r>
  </si>
  <si>
    <r>
      <rPr>
        <sz val="10"/>
        <rFont val="Arial"/>
        <family val="0"/>
        <charset val="1"/>
      </rPr>
      <t xml:space="preserve">Torrey </t>
    </r>
    <r>
      <rPr>
        <sz val="10"/>
        <rFont val="WenQuanYi Zen Hei"/>
        <family val="2"/>
      </rPr>
      <t xml:space="preserve">딜러</t>
    </r>
  </si>
  <si>
    <t xml:space="preserve">http://www.jlrodriguez.com.mx/productos-y-servicios</t>
  </si>
  <si>
    <t xml:space="preserve">Querétaro / CDMX</t>
  </si>
  <si>
    <t xml:space="preserve">badimex.mx</t>
  </si>
  <si>
    <t xml:space="preserve">(44) 2100-4813; WA (55) 6785-6352</t>
  </si>
  <si>
    <r>
      <rPr>
        <sz val="10"/>
        <rFont val="WenQuanYi Zen Hei"/>
        <family val="2"/>
      </rPr>
      <t xml:space="preserve">디지털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업소용 기계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</si>
  <si>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소매</t>
    </r>
  </si>
  <si>
    <t xml:space="preserve">라벨저울 취급 미확인</t>
  </si>
  <si>
    <t xml:space="preserve">https://www.badimex.mx/</t>
  </si>
  <si>
    <r>
      <rPr>
        <sz val="10"/>
        <rFont val="Arial"/>
        <family val="0"/>
        <charset val="1"/>
      </rPr>
      <t xml:space="preserve">Guatemala City </t>
    </r>
    <r>
      <rPr>
        <sz val="10"/>
        <rFont val="WenQuanYi Zen Hei"/>
        <family val="2"/>
      </rPr>
      <t xml:space="preserve">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온두라스 지사</t>
    </r>
    <r>
      <rPr>
        <sz val="10"/>
        <rFont val="Arial"/>
        <family val="0"/>
        <charset val="1"/>
      </rPr>
      <t xml:space="preserve">)</t>
    </r>
  </si>
  <si>
    <t xml:space="preserve">inter-americana.com</t>
  </si>
  <si>
    <t xml:space="preserve">PBX (502) 2427-5000</t>
  </si>
  <si>
    <r>
      <rPr>
        <sz val="10"/>
        <rFont val="Arial"/>
        <family val="0"/>
        <charset val="1"/>
      </rPr>
      <t xml:space="preserve">Torrey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식품가공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정육 장비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</si>
  <si>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유통</t>
    </r>
  </si>
  <si>
    <r>
      <rPr>
        <sz val="10"/>
        <rFont val="Arial"/>
        <family val="0"/>
        <charset val="1"/>
      </rPr>
      <t xml:space="preserve">GT+HN </t>
    </r>
    <r>
      <rPr>
        <sz val="10"/>
        <rFont val="WenQuanYi Zen Hei"/>
        <family val="2"/>
      </rPr>
      <t xml:space="preserve">정육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식품 소매에 라벨저울 판매</t>
    </r>
    <r>
      <rPr>
        <sz val="10"/>
        <rFont val="Arial"/>
        <family val="0"/>
        <charset val="1"/>
      </rPr>
      <t xml:space="preserve">, Torrey</t>
    </r>
    <r>
      <rPr>
        <sz val="10"/>
        <rFont val="WenQuanYi Zen Hei"/>
        <family val="2"/>
      </rPr>
      <t xml:space="preserve">만 취급</t>
    </r>
  </si>
  <si>
    <t xml:space="preserve">https://www.inter-americana.com/pesaje</t>
  </si>
  <si>
    <r>
      <rPr>
        <sz val="10"/>
        <rFont val="Arial"/>
        <family val="0"/>
        <charset val="1"/>
      </rPr>
      <t xml:space="preserve">Guatemala (</t>
    </r>
    <r>
      <rPr>
        <sz val="10"/>
        <rFont val="WenQuanYi Zen Hei"/>
        <family val="2"/>
      </rPr>
      <t xml:space="preserve">중미 커버</t>
    </r>
    <r>
      <rPr>
        <sz val="10"/>
        <rFont val="Arial"/>
        <family val="0"/>
        <charset val="1"/>
      </rPr>
      <t xml:space="preserve">)</t>
    </r>
  </si>
  <si>
    <t xml:space="preserve">soluciones-exactas.com</t>
  </si>
  <si>
    <t xml:space="preserve">(502) 5968-5590; 2460-8068</t>
  </si>
  <si>
    <r>
      <rPr>
        <sz val="10"/>
        <rFont val="WenQuanYi Zen Hei"/>
        <family val="2"/>
      </rPr>
      <t xml:space="preserve">멀티브랜드 산업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정밀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상업용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교정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</si>
  <si>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서비스</t>
    </r>
  </si>
  <si>
    <r>
      <rPr>
        <sz val="10"/>
        <rFont val="WenQuanYi Zen Hei"/>
        <family val="2"/>
      </rPr>
      <t xml:space="preserve">멀티브랜드 수입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교정 역량</t>
    </r>
  </si>
  <si>
    <t xml:space="preserve">https://www.soluciones-exactas.com/</t>
  </si>
  <si>
    <t xml:space="preserve">Guatemala</t>
  </si>
  <si>
    <t xml:space="preserve">pkm-gua.com</t>
  </si>
  <si>
    <t xml:space="preserve">(502) 6633-9972; 2375-2147</t>
  </si>
  <si>
    <t xml:space="preserve">Rice Lake, Dini Argeo, Sartorius</t>
  </si>
  <si>
    <r>
      <rPr>
        <sz val="10"/>
        <rFont val="WenQuanYi Zen Hei"/>
        <family val="2"/>
      </rPr>
      <t xml:space="preserve">산업용 중심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상업용 벤치저울도 판매</t>
    </r>
  </si>
  <si>
    <t xml:space="preserve">https://www.pkm-gua.com/</t>
  </si>
  <si>
    <t xml:space="preserve">Guatemala City</t>
  </si>
  <si>
    <t xml:space="preserve">servitebb.com</t>
  </si>
  <si>
    <t xml:space="preserve">WA +502 5039-5386</t>
  </si>
  <si>
    <r>
      <rPr>
        <sz val="10"/>
        <rFont val="WenQuanYi Zen Hei"/>
        <family val="2"/>
      </rPr>
      <t xml:space="preserve">상업용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플랫폼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트럭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수리</t>
    </r>
  </si>
  <si>
    <r>
      <rPr>
        <sz val="10"/>
        <rFont val="WenQuanYi Zen Hei"/>
        <family val="2"/>
      </rPr>
      <t xml:space="preserve">소매저울 판매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서비스</t>
    </r>
  </si>
  <si>
    <t xml:space="preserve">https://www.servitebb.com/</t>
  </si>
  <si>
    <t xml:space="preserve">probazagt.com</t>
  </si>
  <si>
    <t xml:space="preserve">2292-5397</t>
  </si>
  <si>
    <r>
      <rPr>
        <sz val="10"/>
        <rFont val="WenQuanYi Zen Hei"/>
        <family val="2"/>
      </rPr>
      <t xml:space="preserve">교정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인증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 브랜드</t>
    </r>
    <r>
      <rPr>
        <sz val="10"/>
        <rFont val="Arial"/>
        <family val="0"/>
        <charset val="1"/>
      </rPr>
      <t xml:space="preserve">)</t>
    </r>
  </si>
  <si>
    <t xml:space="preserve">서비스</t>
  </si>
  <si>
    <r>
      <rPr>
        <sz val="10"/>
        <rFont val="WenQuanYi Zen Hei"/>
        <family val="2"/>
      </rPr>
      <t xml:space="preserve">수입사 아님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서비스 파트너</t>
    </r>
  </si>
  <si>
    <t xml:space="preserve">https://www.probazagt.com/</t>
  </si>
  <si>
    <t xml:space="preserve">Santa Tecla</t>
  </si>
  <si>
    <t xml:space="preserve">puntosdeventa.com.sv</t>
  </si>
  <si>
    <t xml:space="preserve">(503) 2556-6707</t>
  </si>
  <si>
    <r>
      <rPr>
        <sz val="10"/>
        <rFont val="Arial"/>
        <family val="0"/>
        <charset val="1"/>
      </rPr>
      <t xml:space="preserve">POS HW(Zebra, Epson, Bixolon), </t>
    </r>
    <r>
      <rPr>
        <sz val="10"/>
        <rFont val="WenQuanYi Zen Hei"/>
        <family val="2"/>
      </rPr>
      <t xml:space="preserve">라벨프린터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저울</t>
    </r>
  </si>
  <si>
    <r>
      <rPr>
        <sz val="10"/>
        <rFont val="WenQuanYi Zen Hei"/>
        <family val="2"/>
      </rPr>
      <t xml:space="preserve">저울 파는 </t>
    </r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채널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라벨저울 추가 가능</t>
    </r>
  </si>
  <si>
    <t xml:space="preserve">https://puntosdeventa.com.sv/</t>
  </si>
  <si>
    <t xml:space="preserve">San Salvador</t>
  </si>
  <si>
    <t xml:space="preserve">basculasybalanzassv.com</t>
  </si>
  <si>
    <t xml:space="preserve">+503 2521-7100</t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</si>
  <si>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공인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독점 유통</t>
    </r>
    <r>
      <rPr>
        <sz val="10"/>
        <rFont val="Arial"/>
        <family val="0"/>
        <charset val="1"/>
      </rPr>
      <t xml:space="preserve">(GT,HN,NI,SV), HAENNI, Rice Lake, </t>
    </r>
    <r>
      <rPr>
        <sz val="10"/>
        <rFont val="WenQuanYi Zen Hei"/>
        <family val="2"/>
      </rPr>
      <t xml:space="preserve">교정</t>
    </r>
  </si>
  <si>
    <r>
      <rPr>
        <sz val="10"/>
        <rFont val="WenQuanYi Zen Hei"/>
        <family val="2"/>
      </rPr>
      <t xml:space="preserve">중미 북부 </t>
    </r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메인 채널 – 묶여있을 수 있으나 전환 타깃</t>
    </r>
  </si>
  <si>
    <t xml:space="preserve">https://basculasybalanzassv.com/distribuidores-autorizados/</t>
  </si>
  <si>
    <t xml:space="preserve">San Salvador, San Miguel</t>
  </si>
  <si>
    <t xml:space="preserve">exactosequipos.com</t>
  </si>
  <si>
    <t xml:space="preserve">+503 7968-4778</t>
  </si>
  <si>
    <t xml:space="preserve">facebook.com/exactoselsalvador/</t>
  </si>
  <si>
    <r>
      <rPr>
        <sz val="10"/>
        <rFont val="Arial"/>
        <family val="0"/>
        <charset val="1"/>
      </rPr>
      <t xml:space="preserve">FB </t>
    </r>
    <r>
      <rPr>
        <sz val="10"/>
        <rFont val="WenQuanYi Zen Hei"/>
        <family val="2"/>
      </rPr>
      <t xml:space="preserve">번호 </t>
    </r>
    <r>
      <rPr>
        <sz val="10"/>
        <rFont val="Arial"/>
        <family val="0"/>
        <charset val="1"/>
      </rPr>
      <t xml:space="preserve">+503 7740 0083</t>
    </r>
  </si>
  <si>
    <r>
      <rPr>
        <sz val="10"/>
        <rFont val="Arial"/>
        <family val="0"/>
        <charset val="1"/>
      </rPr>
      <t xml:space="preserve">Rhino, Vinson(</t>
    </r>
    <r>
      <rPr>
        <sz val="10"/>
        <rFont val="WenQuanYi Zen Hei"/>
        <family val="2"/>
      </rPr>
      <t xml:space="preserve">멕시코 브랜드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</si>
  <si>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지점망 보유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라벨저울 브랜드 없음</t>
    </r>
  </si>
  <si>
    <t xml:space="preserve">https://exactosequipos.com/contacto</t>
  </si>
  <si>
    <t xml:space="preserve">San Pedro Sula, Tegucigalpa</t>
  </si>
  <si>
    <t xml:space="preserve">imercohn.net</t>
  </si>
  <si>
    <t xml:space="preserve">PBX 3170-3521</t>
  </si>
  <si>
    <r>
      <rPr>
        <sz val="10"/>
        <rFont val="Arial"/>
        <family val="0"/>
        <charset val="1"/>
      </rPr>
      <t xml:space="preserve">Torrey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(W-LABEL)</t>
    </r>
  </si>
  <si>
    <r>
      <rPr>
        <sz val="10"/>
        <rFont val="WenQuanYi Zen Hei"/>
        <family val="2"/>
      </rPr>
      <t xml:space="preserve">양대 도시에서 라벨저울 판매</t>
    </r>
    <r>
      <rPr>
        <sz val="10"/>
        <rFont val="Arial"/>
        <family val="0"/>
        <charset val="1"/>
      </rPr>
      <t xml:space="preserve">, Torrey</t>
    </r>
    <r>
      <rPr>
        <sz val="10"/>
        <rFont val="WenQuanYi Zen Hei"/>
        <family val="2"/>
      </rPr>
      <t xml:space="preserve">만 취급</t>
    </r>
  </si>
  <si>
    <t xml:space="preserve">https://imercohn.net/pesaje/</t>
  </si>
  <si>
    <t xml:space="preserve">San Pedro Sula</t>
  </si>
  <si>
    <t xml:space="preserve">inter-americana.com/honduras</t>
  </si>
  <si>
    <t xml:space="preserve">(504) 2508-2558</t>
  </si>
  <si>
    <r>
      <rPr>
        <sz val="10"/>
        <rFont val="Arial"/>
        <family val="0"/>
        <charset val="1"/>
      </rPr>
      <t xml:space="preserve">Torrey 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식품설비</t>
    </r>
  </si>
  <si>
    <t xml:space="preserve">과테말라 본사와 일괄 제안</t>
  </si>
  <si>
    <t xml:space="preserve">https://www.inter-americana.com/honduras</t>
  </si>
  <si>
    <t xml:space="preserve">ipesah.com</t>
  </si>
  <si>
    <t xml:space="preserve">+504 2504-2016</t>
  </si>
  <si>
    <r>
      <rPr>
        <sz val="10"/>
        <rFont val="Arial"/>
        <family val="0"/>
        <charset val="1"/>
      </rPr>
      <t xml:space="preserve">Rice Lake, Dini Argeo </t>
    </r>
    <r>
      <rPr>
        <sz val="10"/>
        <rFont val="WenQuanYi Zen Hei"/>
        <family val="2"/>
      </rPr>
      <t xml:space="preserve">공인</t>
    </r>
    <r>
      <rPr>
        <sz val="10"/>
        <rFont val="Arial"/>
        <family val="0"/>
        <charset val="1"/>
      </rPr>
      <t xml:space="preserve">, ISO17025 </t>
    </r>
    <r>
      <rPr>
        <sz val="10"/>
        <rFont val="WenQuanYi Zen Hei"/>
        <family val="2"/>
      </rPr>
      <t xml:space="preserve">교정랩</t>
    </r>
  </si>
  <si>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교정 기반 강함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소매 라벨저울 약함</t>
    </r>
  </si>
  <si>
    <t xml:space="preserve">https://ipesah.com/</t>
  </si>
  <si>
    <t xml:space="preserve">ventashn@babase.net; administracion@babase.net; servicioalcliente@babasehn.com</t>
  </si>
  <si>
    <r>
      <rPr>
        <sz val="10"/>
        <rFont val="Arial"/>
        <family val="0"/>
        <charset val="1"/>
      </rPr>
      <t xml:space="preserve">2550-0330 (</t>
    </r>
    <r>
      <rPr>
        <sz val="10"/>
        <rFont val="WenQuanYi Zen Hei"/>
        <family val="2"/>
      </rPr>
      <t xml:space="preserve">오래된 디렉토리</t>
    </r>
    <r>
      <rPr>
        <sz val="10"/>
        <rFont val="Arial"/>
        <family val="0"/>
        <charset val="1"/>
      </rPr>
      <t xml:space="preserve">)</t>
    </r>
  </si>
  <si>
    <t xml:space="preserve">babase.net/Contactenos.html; babasehn.com</t>
  </si>
  <si>
    <t xml:space="preserve">+504 2552-5091 / 2550-1636</t>
  </si>
  <si>
    <r>
      <rPr>
        <sz val="10"/>
        <rFont val="WenQuanYi Zen Hei"/>
        <family val="2"/>
      </rPr>
      <t xml:space="preserve">저울 공급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</si>
  <si>
    <t xml:space="preserve">정보 오래됨</t>
  </si>
  <si>
    <t xml:space="preserve">https://www.dehonduras.com/honduras/comercio-e-industria/basculas-y-balanzas.php</t>
  </si>
  <si>
    <t xml:space="preserve">F.A. Dalton S.A. de C.V.</t>
  </si>
  <si>
    <r>
      <rPr>
        <sz val="10"/>
        <rFont val="Arial"/>
        <family val="0"/>
        <charset val="1"/>
      </rPr>
      <t xml:space="preserve">551-3070 (</t>
    </r>
    <r>
      <rPr>
        <sz val="10"/>
        <rFont val="WenQuanYi Zen Hei"/>
        <family val="2"/>
      </rPr>
      <t xml:space="preserve">디렉토리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</si>
  <si>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이메일 미공개 – </t>
    </r>
    <r>
      <rPr>
        <sz val="10"/>
        <rFont val="Arial"/>
        <family val="0"/>
        <charset val="1"/>
      </rPr>
      <t xml:space="preserve">Grupo DISAGRO </t>
    </r>
    <r>
      <rPr>
        <sz val="10"/>
        <rFont val="WenQuanYi Zen Hei"/>
        <family val="2"/>
      </rPr>
      <t xml:space="preserve">소속</t>
    </r>
    <r>
      <rPr>
        <sz val="10"/>
        <rFont val="Arial"/>
        <family val="0"/>
        <charset val="1"/>
      </rPr>
      <t xml:space="preserve">(Mettler </t>
    </r>
    <r>
      <rPr>
        <sz val="10"/>
        <rFont val="WenQuanYi Zen Hei"/>
        <family val="2"/>
      </rPr>
      <t xml:space="preserve">대리</t>
    </r>
    <r>
      <rPr>
        <sz val="10"/>
        <rFont val="Arial"/>
        <family val="0"/>
        <charset val="1"/>
      </rPr>
      <t xml:space="preserve">), disagro.com </t>
    </r>
    <r>
      <rPr>
        <sz val="10"/>
        <rFont val="WenQuanYi Zen Hei"/>
        <family val="2"/>
      </rPr>
      <t xml:space="preserve">문의폼 이용</t>
    </r>
  </si>
  <si>
    <r>
      <rPr>
        <sz val="10"/>
        <rFont val="WenQuanYi Zen Hei"/>
        <family val="2"/>
      </rPr>
      <t xml:space="preserve">저울 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교정</t>
    </r>
  </si>
  <si>
    <t xml:space="preserve">하</t>
  </si>
  <si>
    <t xml:space="preserve">디렉토리 정보만</t>
  </si>
  <si>
    <t xml:space="preserve">Managua</t>
  </si>
  <si>
    <t xml:space="preserve">azocarnicaragua.com</t>
  </si>
  <si>
    <t xml:space="preserve">+505 7656-0710 / 2276-0215</t>
  </si>
  <si>
    <r>
      <rPr>
        <sz val="10"/>
        <rFont val="Arial"/>
        <family val="0"/>
        <charset val="1"/>
      </rPr>
      <t xml:space="preserve">Hiweigh, Ishida, Kretz, CAS, Ohaus, Rice Lake, Datamax </t>
    </r>
    <r>
      <rPr>
        <sz val="10"/>
        <rFont val="WenQuanYi Zen Hei"/>
        <family val="2"/>
      </rPr>
      <t xml:space="preserve">등</t>
    </r>
  </si>
  <si>
    <r>
      <rPr>
        <sz val="10"/>
        <rFont val="WenQuanYi Zen Hei"/>
        <family val="2"/>
      </rPr>
      <t xml:space="preserve">멀티브랜드 소매라인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코스타리카 </t>
    </r>
    <r>
      <rPr>
        <sz val="10"/>
        <rFont val="Arial"/>
        <family val="0"/>
        <charset val="1"/>
      </rPr>
      <t xml:space="preserve">Azocar </t>
    </r>
    <r>
      <rPr>
        <sz val="10"/>
        <rFont val="WenQuanYi Zen Hei"/>
        <family val="2"/>
      </rPr>
      <t xml:space="preserve">자매사</t>
    </r>
  </si>
  <si>
    <t xml:space="preserve">https://azocarnicaragua.com/contactanos/</t>
  </si>
  <si>
    <t xml:space="preserve">servibasculas.com</t>
  </si>
  <si>
    <t xml:space="preserve">+505 2225-1968</t>
  </si>
  <si>
    <r>
      <rPr>
        <sz val="10"/>
        <rFont val="WenQuanYi Zen Hei"/>
        <family val="2"/>
      </rPr>
      <t xml:space="preserve">티켓 프린트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방수저울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교정</t>
    </r>
  </si>
  <si>
    <t xml:space="preserve">프린트 저울 이미 판매</t>
  </si>
  <si>
    <t xml:space="preserve">https://www.servibasculas.com/</t>
  </si>
  <si>
    <t xml:space="preserve">bascularodriguez.com</t>
  </si>
  <si>
    <t xml:space="preserve">2225-2409; 8724-6659</t>
  </si>
  <si>
    <t xml:space="preserve">bascularodriguez.com; Facebook</t>
  </si>
  <si>
    <t xml:space="preserve">+505 7706 3501</t>
  </si>
  <si>
    <r>
      <rPr>
        <sz val="10"/>
        <rFont val="WenQuanYi Zen Hei"/>
        <family val="2"/>
      </rPr>
      <t xml:space="preserve">트럭저울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인디케이터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교정</t>
    </r>
  </si>
  <si>
    <t xml:space="preserve">산업용 중심</t>
  </si>
  <si>
    <t xml:space="preserve">https://bascularodriguez.com/</t>
  </si>
  <si>
    <t xml:space="preserve">Costa Rica</t>
  </si>
  <si>
    <t xml:space="preserve">nexius.tools</t>
  </si>
  <si>
    <t xml:space="preserve">eguerrero@nexius.tools; melramos@nexius.tools</t>
  </si>
  <si>
    <t xml:space="preserve">WA +506 8873-5883</t>
  </si>
  <si>
    <r>
      <rPr>
        <sz val="10"/>
        <rFont val="Arial"/>
        <family val="0"/>
        <charset val="1"/>
      </rPr>
      <t xml:space="preserve">Esteban Guerrero(</t>
    </r>
    <r>
      <rPr>
        <sz val="10"/>
        <rFont val="WenQuanYi Zen Hei"/>
        <family val="2"/>
      </rPr>
      <t xml:space="preserve">운영이사</t>
    </r>
    <r>
      <rPr>
        <sz val="10"/>
        <rFont val="Arial"/>
        <family val="0"/>
        <charset val="1"/>
      </rPr>
      <t xml:space="preserve">); WA +506 8873 5883; La Unión, Cartago</t>
    </r>
  </si>
  <si>
    <r>
      <rPr>
        <sz val="10"/>
        <rFont val="WenQuanYi Zen Hei"/>
        <family val="2"/>
      </rPr>
      <t xml:space="preserve">슈퍼마켓 장비</t>
    </r>
    <r>
      <rPr>
        <sz val="10"/>
        <rFont val="Arial"/>
        <family val="0"/>
        <charset val="1"/>
      </rPr>
      <t xml:space="preserve">(358</t>
    </r>
    <r>
      <rPr>
        <sz val="10"/>
        <rFont val="WenQuanYi Zen Hei"/>
        <family val="2"/>
      </rPr>
      <t xml:space="preserve">품목</t>
    </r>
    <r>
      <rPr>
        <sz val="10"/>
        <rFont val="Arial"/>
        <family val="0"/>
        <charset val="1"/>
      </rPr>
      <t xml:space="preserve">): Dibal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셀프계산대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</si>
  <si>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슈퍼 장비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</si>
  <si>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슈퍼마켓 납품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저울은 여러 라인 중 하나 → 추가 브랜드 수용 가능</t>
    </r>
  </si>
  <si>
    <t xml:space="preserve">https://nexius.tools/catalogo/supermercados/</t>
  </si>
  <si>
    <t xml:space="preserve">San José</t>
  </si>
  <si>
    <t xml:space="preserve">azocarcr.com</t>
  </si>
  <si>
    <t xml:space="preserve">+506 2222-0000; WA 6224-0518</t>
  </si>
  <si>
    <r>
      <rPr>
        <sz val="10"/>
        <rFont val="WenQuanYi Zen Hei"/>
        <family val="2"/>
      </rPr>
      <t xml:space="preserve">소매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(Dibal), ISO17025 </t>
    </r>
    <r>
      <rPr>
        <sz val="10"/>
        <rFont val="WenQuanYi Zen Hei"/>
        <family val="2"/>
      </rPr>
      <t xml:space="preserve">랩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</si>
  <si>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교정</t>
    </r>
  </si>
  <si>
    <r>
      <rPr>
        <sz val="10"/>
        <rFont val="WenQuanYi Zen Hei"/>
        <family val="2"/>
      </rPr>
      <t xml:space="preserve">라벨저울 판매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공인 교정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니카라과 동시 커버</t>
    </r>
  </si>
  <si>
    <t xml:space="preserve">https://www.azocarcr.com/product-page/etiquetadoras</t>
  </si>
  <si>
    <t xml:space="preserve">Romanas HSR</t>
  </si>
  <si>
    <t xml:space="preserve">romanashsr.com</t>
  </si>
  <si>
    <r>
      <rPr>
        <sz val="10"/>
        <rFont val="WenQuanYi Zen Hei"/>
        <family val="2"/>
      </rPr>
      <t xml:space="preserve">이메일 미공개 – </t>
    </r>
    <r>
      <rPr>
        <sz val="10"/>
        <rFont val="Arial"/>
        <family val="0"/>
        <charset val="1"/>
      </rPr>
      <t xml:space="preserve">romanashsr.com </t>
    </r>
    <r>
      <rPr>
        <sz val="10"/>
        <rFont val="WenQuanYi Zen Hei"/>
        <family val="2"/>
      </rPr>
      <t xml:space="preserve">문의폼 이용</t>
    </r>
  </si>
  <si>
    <r>
      <rPr>
        <sz val="10"/>
        <rFont val="Arial"/>
        <family val="0"/>
        <charset val="1"/>
      </rPr>
      <t xml:space="preserve">Dibal </t>
    </r>
    <r>
      <rPr>
        <sz val="10"/>
        <rFont val="WenQuanYi Zen Hei"/>
        <family val="2"/>
      </rPr>
      <t xml:space="preserve">직수입 유통</t>
    </r>
    <r>
      <rPr>
        <sz val="10"/>
        <rFont val="Arial"/>
        <family val="0"/>
        <charset val="1"/>
      </rPr>
      <t xml:space="preserve">, Datalogic, </t>
    </r>
    <r>
      <rPr>
        <sz val="10"/>
        <rFont val="WenQuanYi Zen Hei"/>
        <family val="2"/>
      </rPr>
      <t xml:space="preserve">라벨저울</t>
    </r>
  </si>
  <si>
    <r>
      <rPr>
        <sz val="10"/>
        <rFont val="WenQuanYi Zen Hei"/>
        <family val="2"/>
      </rPr>
      <t xml:space="preserve">라벨저울 전문이나 </t>
    </r>
    <r>
      <rPr>
        <sz val="10"/>
        <rFont val="Arial"/>
        <family val="0"/>
        <charset val="1"/>
      </rPr>
      <t xml:space="preserve">Dibal </t>
    </r>
    <r>
      <rPr>
        <sz val="10"/>
        <rFont val="WenQuanYi Zen Hei"/>
        <family val="2"/>
      </rPr>
      <t xml:space="preserve">전속</t>
    </r>
  </si>
  <si>
    <t xml:space="preserve">https://www.romanashsr.com/balanzas-etiquetadoras</t>
  </si>
  <si>
    <t xml:space="preserve">reproma.com</t>
  </si>
  <si>
    <t xml:space="preserve">reproma.com/contacto/</t>
  </si>
  <si>
    <t xml:space="preserve">+506 2224-9491</t>
  </si>
  <si>
    <r>
      <rPr>
        <sz val="10"/>
        <rFont val="Arial"/>
        <family val="0"/>
        <charset val="1"/>
      </rPr>
      <t xml:space="preserve">CAS Corporation </t>
    </r>
    <r>
      <rPr>
        <sz val="10"/>
        <rFont val="WenQuanYi Zen Hei"/>
        <family val="2"/>
      </rPr>
      <t xml:space="preserve">공급사 페이지 보유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</si>
  <si>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연계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상세 미확인</t>
    </r>
  </si>
  <si>
    <t xml:space="preserve">https://www.reproma.com/proveedor/cas-corporation/</t>
  </si>
  <si>
    <t xml:space="preserve">Tibás, San José</t>
  </si>
  <si>
    <t xml:space="preserve">info@romanaslacost.com; multiservicioslacost@gmail.com</t>
  </si>
  <si>
    <r>
      <rPr>
        <sz val="10"/>
        <rFont val="Arial"/>
        <family val="0"/>
        <charset val="1"/>
      </rPr>
      <t xml:space="preserve">eca.or.cr (</t>
    </r>
    <r>
      <rPr>
        <sz val="10"/>
        <rFont val="WenQuanYi Zen Hei"/>
        <family val="2"/>
      </rPr>
      <t xml:space="preserve">인정기관 기록</t>
    </r>
    <r>
      <rPr>
        <sz val="10"/>
        <rFont val="Arial"/>
        <family val="0"/>
        <charset val="1"/>
      </rPr>
      <t xml:space="preserve">)</t>
    </r>
  </si>
  <si>
    <t xml:space="preserve">+506 2248-0200</t>
  </si>
  <si>
    <r>
      <rPr>
        <sz val="10"/>
        <rFont val="WenQuanYi Zen Hei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교정</t>
    </r>
    <r>
      <rPr>
        <sz val="10"/>
        <rFont val="Arial"/>
        <family val="0"/>
        <charset val="1"/>
      </rPr>
      <t xml:space="preserve">(ISO17025)</t>
    </r>
  </si>
  <si>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딜러</t>
    </r>
  </si>
  <si>
    <t xml:space="preserve">서비스 파트너</t>
  </si>
  <si>
    <t xml:space="preserve">https://ilac.org/?p=126536</t>
  </si>
  <si>
    <t xml:space="preserve">Panama City</t>
  </si>
  <si>
    <t xml:space="preserve">sthpanama.com</t>
  </si>
  <si>
    <t xml:space="preserve">343-5668</t>
  </si>
  <si>
    <r>
      <rPr>
        <sz val="10"/>
        <rFont val="Arial"/>
        <family val="0"/>
        <charset val="1"/>
      </rPr>
      <t xml:space="preserve">3nStar POS, </t>
    </r>
    <r>
      <rPr>
        <sz val="10"/>
        <rFont val="WenQuanYi Zen Hei"/>
        <family val="2"/>
      </rPr>
      <t xml:space="preserve">재정프린터</t>
    </r>
    <r>
      <rPr>
        <sz val="10"/>
        <rFont val="Arial"/>
        <family val="0"/>
        <charset val="1"/>
      </rPr>
      <t xml:space="preserve">, Aclas LS2X·Kretz </t>
    </r>
    <r>
      <rPr>
        <sz val="10"/>
        <rFont val="WenQuanYi Zen Hei"/>
        <family val="2"/>
      </rPr>
      <t xml:space="preserve">라벨저울</t>
    </r>
  </si>
  <si>
    <r>
      <rPr>
        <sz val="10"/>
        <rFont val="WenQuanYi Zen Hei"/>
        <family val="2"/>
      </rPr>
      <t xml:space="preserve">중국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아르헨 라벨저울 이미 판매 → </t>
    </r>
    <r>
      <rPr>
        <sz val="10"/>
        <rFont val="Arial"/>
        <family val="0"/>
        <charset val="1"/>
      </rPr>
      <t xml:space="preserve">NETS </t>
    </r>
    <r>
      <rPr>
        <sz val="10"/>
        <rFont val="WenQuanYi Zen Hei"/>
        <family val="2"/>
      </rPr>
      <t xml:space="preserve">상위모델로 제안</t>
    </r>
  </si>
  <si>
    <t xml:space="preserve">https://sthpanama.com/contacto/</t>
  </si>
  <si>
    <t xml:space="preserve">cpgpanama.com</t>
  </si>
  <si>
    <t xml:space="preserve">ventas@cpgpanama.com; cpg507@outlook.com</t>
  </si>
  <si>
    <t xml:space="preserve">+507 217-1328; +507 6371-0258</t>
  </si>
  <si>
    <t xml:space="preserve">cpgpanama.com/contactanos/</t>
  </si>
  <si>
    <r>
      <rPr>
        <sz val="10"/>
        <rFont val="WenQuanYi Zen Hei"/>
        <family val="2"/>
      </rPr>
      <t xml:space="preserve">주력은 라벨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롤지 – 저울 판매 근거 약함</t>
    </r>
  </si>
  <si>
    <r>
      <rPr>
        <sz val="10"/>
        <rFont val="WenQuanYi Zen Hei"/>
        <family val="2"/>
      </rPr>
      <t xml:space="preserve">저울용 감열라벨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영수증롤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바코드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저울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</si>
  <si>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소모품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</si>
  <si>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저울 라벨 판매 중 → 하드웨어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소모품 패키지 적합</t>
    </r>
  </si>
  <si>
    <t xml:space="preserve">https://www.cpgpanama.com/categoria-producto/etiquetas/etiquetas-termica-para-balanzas/</t>
  </si>
  <si>
    <t xml:space="preserve">posperpanama.com</t>
  </si>
  <si>
    <t xml:space="preserve">ventas@posperpanama.com; ventas2@posperpanama.com</t>
  </si>
  <si>
    <t xml:space="preserve">posperpanama.com/contactenos/</t>
  </si>
  <si>
    <t xml:space="preserve">WA +507 6154-5057; +507 382-3700</t>
  </si>
  <si>
    <r>
      <rPr>
        <sz val="10"/>
        <rFont val="WenQuanYi Zen Hei"/>
        <family val="2"/>
      </rPr>
      <t xml:space="preserve">슈퍼마켓 </t>
    </r>
    <r>
      <rPr>
        <sz val="10"/>
        <rFont val="Arial"/>
        <family val="0"/>
        <charset val="1"/>
      </rPr>
      <t xml:space="preserve">POS, Datalogic </t>
    </r>
    <r>
      <rPr>
        <sz val="10"/>
        <rFont val="WenQuanYi Zen Hei"/>
        <family val="2"/>
      </rPr>
      <t xml:space="preserve">스캐너저울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저울 교정</t>
    </r>
  </si>
  <si>
    <r>
      <rPr>
        <sz val="10"/>
        <rFont val="WenQuanYi Zen Hei"/>
        <family val="2"/>
      </rPr>
      <t xml:space="preserve">슈퍼마켓 </t>
    </r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채널</t>
    </r>
  </si>
  <si>
    <t xml:space="preserve">https://posperpanama.com/soluciones-para-comercio-minorista-retail/</t>
  </si>
  <si>
    <t xml:space="preserve">223-2231</t>
  </si>
  <si>
    <r>
      <rPr>
        <sz val="10"/>
        <rFont val="WenQuanYi Zen Hei"/>
        <family val="2"/>
      </rPr>
      <t xml:space="preserve">저울 수리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교정</t>
    </r>
  </si>
  <si>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교정 파트너</t>
    </r>
  </si>
  <si>
    <t xml:space="preserve">https://sites.google.com/metrologiaindustrial.com/laboratoriometrologia/contactenos</t>
  </si>
  <si>
    <t xml:space="preserve">caslatinoamerica.com</t>
  </si>
  <si>
    <t xml:space="preserve">+507 260-0114</t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</si>
  <si>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라벨저울 전 라인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</si>
  <si>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유통</t>
    </r>
  </si>
  <si>
    <t xml:space="preserve">직접 경쟁사 채널 – 시장정보용</t>
  </si>
  <si>
    <t xml:space="preserve">https://www.caslatinoamerica.com/</t>
  </si>
  <si>
    <r>
      <rPr>
        <sz val="10"/>
        <rFont val="Arial"/>
        <family val="0"/>
        <charset val="1"/>
      </rPr>
      <t xml:space="preserve">Medellín </t>
    </r>
    <r>
      <rPr>
        <sz val="10"/>
        <rFont val="WenQuanYi Zen Hei"/>
        <family val="2"/>
      </rPr>
      <t xml:space="preserve">본사 </t>
    </r>
    <r>
      <rPr>
        <sz val="10"/>
        <rFont val="Arial"/>
        <family val="0"/>
        <charset val="1"/>
      </rPr>
      <t xml:space="preserve">+ Bogotá, Cali, Barranquilla, Bucaramanga</t>
    </r>
  </si>
  <si>
    <t xml:space="preserve">bbg.com.co</t>
  </si>
  <si>
    <t xml:space="preserve">ventas@basculasbbg.com; distribuidoresmedellin@basculasbbg.com; medellin@basculasbbg.com; info@basculasbbg.com</t>
  </si>
  <si>
    <t xml:space="preserve">(604) 557 8785; 311 214 2629; 316 655 0853</t>
  </si>
  <si>
    <t xml:space="preserve">bbg.com.co/basculas/sp/contactenos</t>
  </si>
  <si>
    <r>
      <rPr>
        <sz val="10"/>
        <rFont val="WenQuanYi Zen Hei"/>
        <family val="2"/>
      </rPr>
      <t xml:space="preserve">전국 </t>
    </r>
    <r>
      <rPr>
        <sz val="10"/>
        <rFont val="Arial"/>
        <family val="0"/>
        <charset val="1"/>
      </rPr>
      <t xml:space="preserve">PBX 601 745 7700; WA 317 705 1120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</si>
  <si>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(CL5200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), Torrey, </t>
    </r>
    <r>
      <rPr>
        <sz val="10"/>
        <rFont val="WenQuanYi Zen Hei"/>
        <family val="2"/>
      </rPr>
      <t xml:space="preserve">정육장비 – 수입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유통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</si>
  <si>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다지점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</si>
  <si>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전국 멀티브랜드 대형 수입사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라벨저울 판매 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딜러가격 운영</t>
    </r>
  </si>
  <si>
    <t xml:space="preserve">https://www.bbg.com.co/basculas/vp490/sp/balanza-etiquetadora-liquidadora-cas-cl-5200-p</t>
  </si>
  <si>
    <t xml:space="preserve">Capital Colombia</t>
  </si>
  <si>
    <t xml:space="preserve">Bogotá</t>
  </si>
  <si>
    <t xml:space="preserve">capitalcolombia.com</t>
  </si>
  <si>
    <t xml:space="preserve">(+57) 601 537 3270; 300 617 1853</t>
  </si>
  <si>
    <r>
      <rPr>
        <sz val="10"/>
        <rFont val="WenQuanYi Zen Hei"/>
        <family val="2"/>
      </rPr>
      <t xml:space="preserve">이메일 미공개 – </t>
    </r>
    <r>
      <rPr>
        <sz val="10"/>
        <rFont val="Arial"/>
        <family val="0"/>
        <charset val="1"/>
      </rPr>
      <t xml:space="preserve">WA 300 617 1853, </t>
    </r>
    <r>
      <rPr>
        <sz val="10"/>
        <rFont val="WenQuanYi Zen Hei"/>
        <family val="2"/>
      </rPr>
      <t xml:space="preserve">문의폼 </t>
    </r>
    <r>
      <rPr>
        <sz val="10"/>
        <rFont val="Arial"/>
        <family val="0"/>
        <charset val="1"/>
      </rPr>
      <t xml:space="preserve">capitalcolombia.com/sec-contactenos (</t>
    </r>
    <r>
      <rPr>
        <sz val="10"/>
        <rFont val="WenQuanYi Zen Hei"/>
        <family val="2"/>
      </rPr>
      <t xml:space="preserve">주력은 라벨프린터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태블릿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</si>
  <si>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POS HW: POS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프린터저울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가격표시기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라벨프린터</t>
    </r>
    <r>
      <rPr>
        <sz val="10"/>
        <rFont val="Arial"/>
        <family val="0"/>
        <charset val="1"/>
      </rPr>
      <t xml:space="preserve">(CAS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</si>
  <si>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유통</t>
    </r>
  </si>
  <si>
    <r>
      <rPr>
        <sz val="10"/>
        <rFont val="WenQuanYi Zen Hei"/>
        <family val="2"/>
      </rPr>
      <t xml:space="preserve">소매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슈퍼 </t>
    </r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채널</t>
    </r>
    <r>
      <rPr>
        <sz val="10"/>
        <rFont val="Arial"/>
        <family val="0"/>
        <charset val="1"/>
      </rPr>
      <t xml:space="preserve">, POS</t>
    </r>
    <r>
      <rPr>
        <sz val="10"/>
        <rFont val="WenQuanYi Zen Hei"/>
        <family val="2"/>
      </rPr>
      <t xml:space="preserve">와 저울 번들</t>
    </r>
  </si>
  <si>
    <t xml:space="preserve">https://www.capitalcolombia.com/clases/colombia/bogota/hardware/balanzas_para_puntos_de_venta_balanzas_con_impresora_y_visores_de_precios_cc19c.php?marcaid=63</t>
  </si>
  <si>
    <t xml:space="preserve">Cali</t>
  </si>
  <si>
    <t xml:space="preserve">badecol.com</t>
  </si>
  <si>
    <t xml:space="preserve">ventas@badecol.com; comercial@badecol.com; exportaciones@badecol.com</t>
  </si>
  <si>
    <r>
      <rPr>
        <sz val="10"/>
        <rFont val="WenQuanYi Zen Hei"/>
        <family val="2"/>
      </rPr>
      <t xml:space="preserve">실제 위치 </t>
    </r>
    <r>
      <rPr>
        <sz val="10"/>
        <rFont val="Arial"/>
        <family val="0"/>
        <charset val="1"/>
      </rPr>
      <t xml:space="preserve">Cali; WA 315 492 7497</t>
    </r>
  </si>
  <si>
    <r>
      <rPr>
        <sz val="10"/>
        <rFont val="Arial"/>
        <family val="0"/>
        <charset val="1"/>
      </rPr>
      <t xml:space="preserve">Dibal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자체 기계식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디지털저울 수입</t>
    </r>
  </si>
  <si>
    <r>
      <rPr>
        <sz val="10"/>
        <rFont val="WenQuanYi Zen Hei"/>
        <family val="2"/>
      </rPr>
      <t xml:space="preserve">제조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수입</t>
    </r>
  </si>
  <si>
    <r>
      <rPr>
        <sz val="10"/>
        <rFont val="WenQuanYi Zen Hei"/>
        <family val="2"/>
      </rPr>
      <t xml:space="preserve">유럽 라벨저울 수입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재판매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수출입 개방적</t>
    </r>
  </si>
  <si>
    <t xml:space="preserve">https://www.badecol.com/collections/balanzas-dibal</t>
  </si>
  <si>
    <t xml:space="preserve">Bogotá / Cali / Medellín</t>
  </si>
  <si>
    <t xml:space="preserve">importadoratorrey.com</t>
  </si>
  <si>
    <t xml:space="preserve">importadoratorrey.com/imtorrey/sp/contactenos</t>
  </si>
  <si>
    <r>
      <rPr>
        <sz val="10"/>
        <rFont val="Arial"/>
        <family val="0"/>
        <charset val="1"/>
      </rPr>
      <t xml:space="preserve">WA +57 321 426 8429; CAS Latinoamérica</t>
    </r>
    <r>
      <rPr>
        <sz val="10"/>
        <rFont val="WenQuanYi Zen Hei"/>
        <family val="2"/>
      </rPr>
      <t xml:space="preserve">와 주소 공유</t>
    </r>
  </si>
  <si>
    <r>
      <rPr>
        <sz val="10"/>
        <rFont val="Arial"/>
        <family val="0"/>
        <charset val="1"/>
      </rPr>
      <t xml:space="preserve">Torrey LSQ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CAS CL5200</t>
    </r>
  </si>
  <si>
    <t xml:space="preserve">수입</t>
  </si>
  <si>
    <r>
      <rPr>
        <sz val="10"/>
        <rFont val="Arial"/>
        <family val="0"/>
        <charset val="1"/>
      </rPr>
      <t xml:space="preserve">BBG</t>
    </r>
    <r>
      <rPr>
        <sz val="10"/>
        <rFont val="WenQuanYi Zen Hei"/>
        <family val="2"/>
      </rPr>
      <t xml:space="preserve">와 연관 가능성 – 확인 필요</t>
    </r>
  </si>
  <si>
    <t xml:space="preserve">https://www.importadoratorrey.com/imtorrey/vp40/sp/balanza-etiquetadora-torrey-lsq-guadalupe-bbg</t>
  </si>
  <si>
    <t xml:space="preserve">Barranquilla, Cartagena, Valledupar</t>
  </si>
  <si>
    <t xml:space="preserve">basculasbil.com</t>
  </si>
  <si>
    <t xml:space="preserve">basculasbil@gmail.com; basculasyequiposbil@gmail.com; bilvalledupar@gmail.com</t>
  </si>
  <si>
    <t xml:space="preserve">basculasbil.com/contactanos/</t>
  </si>
  <si>
    <t xml:space="preserve">Barranquilla 301 515 6015; Cartagena 304 663 6756</t>
  </si>
  <si>
    <r>
      <rPr>
        <sz val="10"/>
        <rFont val="Arial"/>
        <family val="0"/>
        <charset val="1"/>
      </rPr>
      <t xml:space="preserve">Dibal </t>
    </r>
    <r>
      <rPr>
        <sz val="10"/>
        <rFont val="WenQuanYi Zen Hei"/>
        <family val="2"/>
      </rPr>
      <t xml:space="preserve">터치 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라벨러</t>
    </r>
  </si>
  <si>
    <r>
      <rPr>
        <sz val="10"/>
        <rFont val="WenQuanYi Zen Hei"/>
        <family val="2"/>
      </rPr>
      <t xml:space="preserve">고가 </t>
    </r>
    <r>
      <rPr>
        <sz val="10"/>
        <rFont val="Arial"/>
        <family val="0"/>
        <charset val="1"/>
      </rPr>
      <t xml:space="preserve">Dibal </t>
    </r>
    <r>
      <rPr>
        <sz val="10"/>
        <rFont val="WenQuanYi Zen Hei"/>
        <family val="2"/>
      </rPr>
      <t xml:space="preserve">판매 → </t>
    </r>
    <r>
      <rPr>
        <sz val="10"/>
        <rFont val="Arial"/>
        <family val="0"/>
        <charset val="1"/>
      </rPr>
      <t xml:space="preserve">NETS</t>
    </r>
    <r>
      <rPr>
        <sz val="10"/>
        <rFont val="WenQuanYi Zen Hei"/>
        <family val="2"/>
      </rPr>
      <t xml:space="preserve">로 중가 공백 채우기</t>
    </r>
  </si>
  <si>
    <t xml:space="preserve">https://www.basculasbil.com/productos/colgante-dibal/</t>
  </si>
  <si>
    <t xml:space="preserve">distriequiposbogota.com</t>
  </si>
  <si>
    <t xml:space="preserve">ventas@distriequiposbogota.com; calidad@distriequiposbogota.com</t>
  </si>
  <si>
    <t xml:space="preserve">(601) 462 8269; 310 212 4694</t>
  </si>
  <si>
    <r>
      <rPr>
        <sz val="10"/>
        <rFont val="Arial"/>
        <family val="0"/>
        <charset val="1"/>
      </rPr>
      <t xml:space="preserve">Dibal Mistral 525, </t>
    </r>
    <r>
      <rPr>
        <sz val="10"/>
        <rFont val="WenQuanYi Zen Hei"/>
        <family val="2"/>
      </rPr>
      <t xml:space="preserve">식품장비</t>
    </r>
  </si>
  <si>
    <r>
      <rPr>
        <sz val="10"/>
        <rFont val="WenQuanYi Zen Hei"/>
        <family val="2"/>
      </rPr>
      <t xml:space="preserve">식품장비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라벨저울 딜러</t>
    </r>
  </si>
  <si>
    <t xml:space="preserve">https://www.distriequiposbogota.com/producto/balanzas-colgante-con-memorias-e-impresora-marca-dibal-mistral-525-en-abs/</t>
  </si>
  <si>
    <t xml:space="preserve">impoventas.com.co</t>
  </si>
  <si>
    <t xml:space="preserve">comercial1@impoventas.com.co; comercial2@impoventas.com.co; info@impoventas.com.co</t>
  </si>
  <si>
    <t xml:space="preserve">impoventas.com.co/contactenos/</t>
  </si>
  <si>
    <t xml:space="preserve">Bosa Centro, Bogotá</t>
  </si>
  <si>
    <t xml:space="preserve">CAS CL-5200</t>
  </si>
  <si>
    <t xml:space="preserve">정보 적음</t>
  </si>
  <si>
    <t xml:space="preserve">https://www.impoventas.com.co/catalogo/balanza-etiquetadora-cas-cl-5200/</t>
  </si>
  <si>
    <t xml:space="preserve">Mexico City</t>
  </si>
  <si>
    <t xml:space="preserve">misrefris.com</t>
  </si>
  <si>
    <t xml:space="preserve">contacto@misrefris.com; egarcia@misrefris.com</t>
  </si>
  <si>
    <r>
      <rPr>
        <sz val="10"/>
        <rFont val="WenQuanYi Zen Hei"/>
        <family val="2"/>
      </rPr>
      <t xml:space="preserve">⚠ 콜롬비아가 아니라 멕시코시티 업체 </t>
    </r>
    <r>
      <rPr>
        <sz val="10"/>
        <rFont val="Arial"/>
        <family val="0"/>
        <charset val="1"/>
      </rPr>
      <t xml:space="preserve">(+52 55 5415 6805)</t>
    </r>
  </si>
  <si>
    <r>
      <rPr>
        <sz val="10"/>
        <rFont val="Arial"/>
        <family val="0"/>
        <charset val="1"/>
      </rPr>
      <t xml:space="preserve">Dibal M-525, </t>
    </r>
    <r>
      <rPr>
        <sz val="10"/>
        <rFont val="WenQuanYi Zen Hei"/>
        <family val="2"/>
      </rPr>
      <t xml:space="preserve">냉장설비</t>
    </r>
  </si>
  <si>
    <t xml:space="preserve">소규모</t>
  </si>
  <si>
    <t xml:space="preserve">https://misrefris.com/producto/bascula-etiquetadora-dibal-m-525-5-t/</t>
  </si>
  <si>
    <r>
      <rPr>
        <sz val="10"/>
        <rFont val="Arial"/>
        <family val="0"/>
        <charset val="1"/>
      </rPr>
      <t xml:space="preserve">Bogotá (+ </t>
    </r>
    <r>
      <rPr>
        <sz val="10"/>
        <rFont val="WenQuanYi Zen Hei"/>
        <family val="2"/>
      </rPr>
      <t xml:space="preserve">파나마</t>
    </r>
    <r>
      <rPr>
        <sz val="10"/>
        <rFont val="Arial"/>
        <family val="0"/>
        <charset val="1"/>
      </rPr>
      <t xml:space="preserve">)</t>
    </r>
  </si>
  <si>
    <t xml:space="preserve">comercial2@caslatinoamerica.com; panama@caslatinoamerica.com; info@caslatinoamerica.com</t>
  </si>
  <si>
    <t xml:space="preserve">(57) 4-525 5994; 321 328 2020</t>
  </si>
  <si>
    <t xml:space="preserve">caslatinoamerica.com; eldirectorio.co</t>
  </si>
  <si>
    <r>
      <rPr>
        <sz val="10"/>
        <rFont val="WenQuanYi Zen Hei"/>
        <family val="2"/>
      </rPr>
      <t xml:space="preserve">실제 위치 </t>
    </r>
    <r>
      <rPr>
        <sz val="10"/>
        <rFont val="Arial"/>
        <family val="0"/>
        <charset val="1"/>
      </rPr>
      <t xml:space="preserve">Bogotá (Cra 24 #12b-54)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</si>
  <si>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라벨저울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</si>
  <si>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지역유통</t>
    </r>
  </si>
  <si>
    <t xml:space="preserve">https://www.caslatinoamerica.com/caslatinoamerica/vp19/sp/balanza-etiquetadora-cas-modelo-cl5200-</t>
  </si>
  <si>
    <t xml:space="preserve">Ecuador</t>
  </si>
  <si>
    <t xml:space="preserve">competencia.com.ec</t>
  </si>
  <si>
    <t xml:space="preserve">ventas@competencia.com.ec; marketing@competencia.com.ec</t>
  </si>
  <si>
    <t xml:space="preserve">competencia.com.ec/contactanos/</t>
  </si>
  <si>
    <t xml:space="preserve">WA 096 972 9361; (02) 382 7390 Quito</t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</si>
  <si>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(SM-320B, SM-5300 + </t>
    </r>
    <r>
      <rPr>
        <sz val="10"/>
        <rFont val="WenQuanYi Zen Hei"/>
        <family val="2"/>
      </rPr>
      <t xml:space="preserve">전자가격표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보안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통신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</si>
  <si>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통합</t>
    </r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</si>
  <si>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파는 리테일테크 통합사 → </t>
    </r>
    <r>
      <rPr>
        <sz val="10"/>
        <rFont val="Arial"/>
        <family val="0"/>
        <charset val="1"/>
      </rPr>
      <t xml:space="preserve">NETS </t>
    </r>
    <r>
      <rPr>
        <sz val="10"/>
        <rFont val="WenQuanYi Zen Hei"/>
        <family val="2"/>
      </rPr>
      <t xml:space="preserve">가성비 대안</t>
    </r>
  </si>
  <si>
    <t xml:space="preserve">https://competencia.com.ec/brand/4-digi</t>
  </si>
  <si>
    <t xml:space="preserve">Guayaquil</t>
  </si>
  <si>
    <t xml:space="preserve">electronicacasio.com.ec</t>
  </si>
  <si>
    <t xml:space="preserve">04 390 7850; 099 719 2170</t>
  </si>
  <si>
    <r>
      <rPr>
        <sz val="10"/>
        <rFont val="Arial"/>
        <family val="0"/>
        <charset val="1"/>
      </rPr>
      <t xml:space="preserve">CAS(CL5200, CL8000), Hiweigh – </t>
    </r>
    <r>
      <rPr>
        <sz val="10"/>
        <rFont val="WenQuanYi Zen Hei"/>
        <family val="2"/>
      </rPr>
      <t xml:space="preserve">슈퍼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바나나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새우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양계</t>
    </r>
  </si>
  <si>
    <r>
      <rPr>
        <sz val="10"/>
        <rFont val="WenQuanYi Zen Hei"/>
        <family val="2"/>
      </rPr>
      <t xml:space="preserve">라벨저울 채널 강하나 </t>
    </r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중심</t>
    </r>
  </si>
  <si>
    <t xml:space="preserve">https://electronicacasio.com.ec/</t>
  </si>
  <si>
    <t xml:space="preserve">Quito, Guayaquil</t>
  </si>
  <si>
    <t xml:space="preserve">ingelsoft.com</t>
  </si>
  <si>
    <t xml:space="preserve">Quito +593 2 255 0342; GYE +593 98 635 3635</t>
  </si>
  <si>
    <r>
      <rPr>
        <sz val="10"/>
        <rFont val="WenQuanYi Zen Hei"/>
        <family val="2"/>
      </rPr>
      <t xml:space="preserve">벤치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플랫폼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트럭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바코드 장비</t>
    </r>
  </si>
  <si>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바코드 조합 적합</t>
    </r>
  </si>
  <si>
    <t xml:space="preserve">https://www.ingelsoft.com/catalogo-productos/balanzas/</t>
  </si>
  <si>
    <t xml:space="preserve">Quito</t>
  </si>
  <si>
    <t xml:space="preserve">vilanx.ec</t>
  </si>
  <si>
    <t xml:space="preserve">WA 098 148 1509</t>
  </si>
  <si>
    <t xml:space="preserve">WA 0981481509</t>
  </si>
  <si>
    <r>
      <rPr>
        <sz val="10"/>
        <rFont val="Arial"/>
        <family val="0"/>
        <charset val="1"/>
      </rPr>
      <t xml:space="preserve">Global CAS </t>
    </r>
    <r>
      <rPr>
        <sz val="10"/>
        <rFont val="WenQuanYi Zen Hei"/>
        <family val="2"/>
      </rPr>
      <t xml:space="preserve">공인 유통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POS</t>
    </r>
    <r>
      <rPr>
        <sz val="10"/>
        <rFont val="WenQuanYi Zen Hei"/>
        <family val="2"/>
      </rPr>
      <t xml:space="preserve">저울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</si>
  <si>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딜러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</si>
  <si>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공인 – 충돌 가능</t>
    </r>
  </si>
  <si>
    <t xml:space="preserve">https://www.vilanx.ec/balanzas-cas-ecuador-distribuidor/</t>
  </si>
  <si>
    <t xml:space="preserve">Quito + Guayaquil, Cuenca, Manta</t>
  </si>
  <si>
    <t xml:space="preserve">espinosapaez.com</t>
  </si>
  <si>
    <r>
      <rPr>
        <sz val="10"/>
        <rFont val="WenQuanYi Zen Hei"/>
        <family val="2"/>
      </rPr>
      <t xml:space="preserve">철자 특이 – 확인 필요</t>
    </r>
    <r>
      <rPr>
        <sz val="10"/>
        <rFont val="Arial"/>
        <family val="0"/>
        <charset val="1"/>
      </rPr>
      <t xml:space="preserve">; (02) 3948050</t>
    </r>
  </si>
  <si>
    <r>
      <rPr>
        <sz val="10"/>
        <rFont val="Arial"/>
        <family val="0"/>
        <charset val="1"/>
      </rPr>
      <t xml:space="preserve">Mettler Toledo </t>
    </r>
    <r>
      <rPr>
        <sz val="10"/>
        <rFont val="WenQuanYi Zen Hei"/>
        <family val="2"/>
      </rPr>
      <t xml:space="preserve">대리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산업용</t>
    </r>
    <r>
      <rPr>
        <sz val="10"/>
        <rFont val="Arial"/>
        <family val="0"/>
        <charset val="1"/>
      </rPr>
      <t xml:space="preserve">)</t>
    </r>
  </si>
  <si>
    <t xml:space="preserve">브랜드 대리</t>
  </si>
  <si>
    <r>
      <rPr>
        <sz val="10"/>
        <rFont val="Arial"/>
        <family val="0"/>
        <charset val="1"/>
      </rPr>
      <t xml:space="preserve">Mettler </t>
    </r>
    <r>
      <rPr>
        <sz val="10"/>
        <rFont val="WenQuanYi Zen Hei"/>
        <family val="2"/>
      </rPr>
      <t xml:space="preserve">전속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산업용</t>
    </r>
  </si>
  <si>
    <t xml:space="preserve">https://www.mt.com/ec/es/home.html</t>
  </si>
  <si>
    <r>
      <rPr>
        <sz val="10"/>
        <rFont val="Arial"/>
        <family val="0"/>
        <charset val="1"/>
      </rPr>
      <t xml:space="preserve">2658-ec.all.biz (</t>
    </r>
    <r>
      <rPr>
        <sz val="10"/>
        <rFont val="WenQuanYi Zen Hei"/>
        <family val="2"/>
      </rPr>
      <t xml:space="preserve">디렉토리</t>
    </r>
    <r>
      <rPr>
        <sz val="10"/>
        <rFont val="Arial"/>
        <family val="0"/>
        <charset val="1"/>
      </rPr>
      <t xml:space="preserve">)</t>
    </r>
  </si>
  <si>
    <t xml:space="preserve">balanzasuperior.com; WA 0939242227</t>
  </si>
  <si>
    <r>
      <rPr>
        <sz val="10"/>
        <rFont val="WenQuanYi Zen Hei"/>
        <family val="2"/>
      </rPr>
      <t xml:space="preserve">산업용 저울 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, Jadever</t>
    </r>
  </si>
  <si>
    <t xml:space="preserve">https://connectamericas.com/es/node/447678</t>
  </si>
  <si>
    <t xml:space="preserve">Santo Domingo</t>
  </si>
  <si>
    <t xml:space="preserve">serpoca.com.do</t>
  </si>
  <si>
    <t xml:space="preserve">ventas@serpoca.com.do; info@serpoca.com.do</t>
  </si>
  <si>
    <t xml:space="preserve">serpoca.com.do/contacto/</t>
  </si>
  <si>
    <t xml:space="preserve">(809) 566-8732</t>
  </si>
  <si>
    <r>
      <rPr>
        <sz val="10"/>
        <rFont val="WenQuanYi Zen Hei"/>
        <family val="2"/>
      </rPr>
      <t xml:space="preserve">저울 </t>
    </r>
    <r>
      <rPr>
        <sz val="10"/>
        <rFont val="Arial"/>
        <family val="0"/>
        <charset val="1"/>
      </rPr>
      <t xml:space="preserve">+ ISO17025 </t>
    </r>
    <r>
      <rPr>
        <sz val="10"/>
        <rFont val="WenQuanYi Zen Hei"/>
        <family val="2"/>
      </rPr>
      <t xml:space="preserve">교정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슈퍼마켓 솔루션</t>
    </r>
    <r>
      <rPr>
        <sz val="10"/>
        <rFont val="Arial"/>
        <family val="0"/>
        <charset val="1"/>
      </rPr>
      <t xml:space="preserve">(Supermercados Bravo </t>
    </r>
    <r>
      <rPr>
        <sz val="10"/>
        <rFont val="WenQuanYi Zen Hei"/>
        <family val="2"/>
      </rPr>
      <t xml:space="preserve">사례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</si>
  <si>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교정</t>
    </r>
  </si>
  <si>
    <r>
      <rPr>
        <sz val="10"/>
        <rFont val="WenQuanYi Zen Hei"/>
        <family val="2"/>
      </rPr>
      <t xml:space="preserve">슈퍼마켓 고객 보유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브랜드 전속 미확인</t>
    </r>
  </si>
  <si>
    <t xml:space="preserve">https://serpoca.com.do/industria/supermercado/</t>
  </si>
  <si>
    <t xml:space="preserve">Santo Domingo Oeste</t>
  </si>
  <si>
    <t xml:space="preserve">balanzasnacionales.com</t>
  </si>
  <si>
    <t xml:space="preserve">balanzasnacionales.com/contactos/</t>
  </si>
  <si>
    <t xml:space="preserve">809-537-1136</t>
  </si>
  <si>
    <t xml:space="preserve">CAS, Ohaus, Zemic</t>
  </si>
  <si>
    <t xml:space="preserve">멀티브랜드</t>
  </si>
  <si>
    <t xml:space="preserve">https://balanzasnacionales.com/sobre-nosotros/</t>
  </si>
  <si>
    <t xml:space="preserve">balanzasindustriales.com</t>
  </si>
  <si>
    <t xml:space="preserve">info@balanzasindustriales.com; asistente@balanzasindustriales.com</t>
  </si>
  <si>
    <t xml:space="preserve">balanzasindustriales.com/contactos/</t>
  </si>
  <si>
    <t xml:space="preserve">(809) 567-2194</t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</si>
  <si>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공인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슈퍼용 바코드 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교정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수리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</si>
  <si>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서비스</t>
    </r>
  </si>
  <si>
    <r>
      <rPr>
        <sz val="10"/>
        <rFont val="WenQuanYi Zen Hei"/>
        <family val="2"/>
      </rPr>
      <t xml:space="preserve">슈퍼 라벨저울 사업 있음</t>
    </r>
    <r>
      <rPr>
        <sz val="10"/>
        <rFont val="Arial"/>
        <family val="0"/>
        <charset val="1"/>
      </rPr>
      <t xml:space="preserve">, CAS </t>
    </r>
    <r>
      <rPr>
        <sz val="10"/>
        <rFont val="WenQuanYi Zen Hei"/>
        <family val="2"/>
      </rPr>
      <t xml:space="preserve">충돌 가능</t>
    </r>
  </si>
  <si>
    <t xml:space="preserve">https://balanzasindustriales.com/</t>
  </si>
  <si>
    <t xml:space="preserve">Santiago</t>
  </si>
  <si>
    <t xml:space="preserve">balanzadelcaribe.com</t>
  </si>
  <si>
    <t xml:space="preserve">809-570-0207</t>
  </si>
  <si>
    <r>
      <rPr>
        <sz val="10"/>
        <rFont val="WenQuanYi Zen Hei"/>
        <family val="2"/>
      </rPr>
      <t xml:space="preserve">디지털 저울 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교정</t>
    </r>
  </si>
  <si>
    <t xml:space="preserve">시바오 지역 커버</t>
  </si>
  <si>
    <t xml:space="preserve">https://balanzadelcaribe.com/</t>
  </si>
  <si>
    <t xml:space="preserve">Caracas</t>
  </si>
  <si>
    <t xml:space="preserve">xacta.com.ve</t>
  </si>
  <si>
    <r>
      <rPr>
        <sz val="10"/>
        <rFont val="Arial"/>
        <family val="0"/>
        <charset val="1"/>
      </rPr>
      <t xml:space="preserve">1985</t>
    </r>
    <r>
      <rPr>
        <sz val="10"/>
        <rFont val="WenQuanYi Zen Hei"/>
        <family val="2"/>
      </rPr>
      <t xml:space="preserve">년부터 저울 제조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글로벌 브랜드 독점대리</t>
    </r>
    <r>
      <rPr>
        <sz val="10"/>
        <rFont val="Arial"/>
        <family val="0"/>
        <charset val="1"/>
      </rPr>
      <t xml:space="preserve">, Cardinal </t>
    </r>
    <r>
      <rPr>
        <sz val="10"/>
        <rFont val="WenQuanYi Zen Hei"/>
        <family val="2"/>
      </rPr>
      <t xml:space="preserve">파트너</t>
    </r>
  </si>
  <si>
    <r>
      <rPr>
        <sz val="10"/>
        <rFont val="WenQuanYi Zen Hei"/>
        <family val="2"/>
      </rPr>
      <t xml:space="preserve">제조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독점대리</t>
    </r>
  </si>
  <si>
    <r>
      <rPr>
        <sz val="10"/>
        <rFont val="WenQuanYi Zen Hei"/>
        <family val="2"/>
      </rPr>
      <t xml:space="preserve">기존 강자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소매 라벨저울 라인 원할 수 있음</t>
    </r>
  </si>
  <si>
    <t xml:space="preserve">https://www.xacta.com.ve/</t>
  </si>
  <si>
    <t xml:space="preserve">Caracas (Chacao)</t>
  </si>
  <si>
    <t xml:space="preserve">hitech2023.com</t>
  </si>
  <si>
    <t xml:space="preserve">hitech2023.com/contacto/</t>
  </si>
  <si>
    <t xml:space="preserve">WA +58 424 234 0711</t>
  </si>
  <si>
    <r>
      <rPr>
        <sz val="10"/>
        <rFont val="Arial"/>
        <family val="0"/>
        <charset val="1"/>
      </rPr>
      <t xml:space="preserve">CAS CL3000 </t>
    </r>
    <r>
      <rPr>
        <sz val="10"/>
        <rFont val="WenQuanYi Zen Hei"/>
        <family val="2"/>
      </rPr>
      <t xml:space="preserve">라벨저울 등</t>
    </r>
  </si>
  <si>
    <t xml:space="preserve">리테일테크 딜러</t>
  </si>
  <si>
    <t xml:space="preserve">https://www.hitech2023.com/producto/balanza-cas-etiquetadora-cl3000-30p-industrial/</t>
  </si>
  <si>
    <t xml:space="preserve">batvenca.com</t>
  </si>
  <si>
    <t xml:space="preserve">batvenca.com/contactanos/</t>
  </si>
  <si>
    <r>
      <rPr>
        <sz val="10"/>
        <rFont val="Arial"/>
        <family val="0"/>
        <charset val="1"/>
      </rPr>
      <t xml:space="preserve">Valencia, Carabobo – </t>
    </r>
    <r>
      <rPr>
        <sz val="10"/>
        <rFont val="WenQuanYi Zen Hei"/>
        <family val="2"/>
      </rPr>
      <t xml:space="preserve">저울 취급 불확실</t>
    </r>
  </si>
  <si>
    <t xml:space="preserve">CAS CL5200N</t>
  </si>
  <si>
    <r>
      <rPr>
        <sz val="10"/>
        <rFont val="WenQuanYi Zen Hei"/>
        <family val="2"/>
      </rPr>
      <t xml:space="preserve">제품 페이지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개만 확인</t>
    </r>
  </si>
  <si>
    <t xml:space="preserve">https://batvenca.com/tienda/balanza-etiquetador-30kg-cas-cl-5200-n/</t>
  </si>
  <si>
    <t xml:space="preserve">Cabudare, Lara</t>
  </si>
  <si>
    <t xml:space="preserve">ventas@balanzaslara.com; servicios@balanzaslara.com</t>
  </si>
  <si>
    <t xml:space="preserve">facebook.com/p/Balanzas-Lara-100063934632793/</t>
  </si>
  <si>
    <t xml:space="preserve">(0414) 350 1501</t>
  </si>
  <si>
    <r>
      <rPr>
        <sz val="10"/>
        <rFont val="WenQuanYi Zen Hei"/>
        <family val="2"/>
      </rPr>
      <t xml:space="preserve">계량장비 공급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자칭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</si>
  <si>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공급</t>
    </r>
  </si>
  <si>
    <r>
      <rPr>
        <sz val="10"/>
        <rFont val="WenQuanYi Zen Hei"/>
        <family val="2"/>
      </rPr>
      <t xml:space="preserve">전국 규모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현황 미확인</t>
    </r>
  </si>
  <si>
    <t xml:space="preserve">https://www.machinetools.com/en/brands/balanzas-lara</t>
  </si>
  <si>
    <t xml:space="preserve">Caracas (Petare)</t>
  </si>
  <si>
    <t xml:space="preserve">cas-ve.com</t>
  </si>
  <si>
    <t xml:space="preserve">casmen.venta@gmail.com; atccasmen@gmail.com; casmen@sinabrosa.com</t>
  </si>
  <si>
    <t xml:space="preserve">+58 212 213 9114; +58 424 165 5965</t>
  </si>
  <si>
    <t xml:space="preserve">facebook.com/Casmen-Servicios-2140767302838691; empresasgrancaracas.com</t>
  </si>
  <si>
    <r>
      <rPr>
        <sz val="10"/>
        <rFont val="WenQuanYi Zen Hei"/>
        <family val="2"/>
      </rPr>
      <t xml:space="preserve">실제 운영사 </t>
    </r>
    <r>
      <rPr>
        <sz val="10"/>
        <rFont val="Arial"/>
        <family val="0"/>
        <charset val="1"/>
      </rPr>
      <t xml:space="preserve">Servicios Casmen C.A.(casmen.com.ve), cas-ve.com </t>
    </r>
    <r>
      <rPr>
        <sz val="10"/>
        <rFont val="WenQuanYi Zen Hei"/>
        <family val="2"/>
      </rPr>
      <t xml:space="preserve">접속 불가</t>
    </r>
    <r>
      <rPr>
        <sz val="10"/>
        <rFont val="Arial"/>
        <family val="0"/>
        <charset val="1"/>
      </rPr>
      <t xml:space="preserve">. X @casmen_venta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</si>
  <si>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독점 대리</t>
    </r>
    <r>
      <rPr>
        <sz val="10"/>
        <rFont val="Arial"/>
        <family val="0"/>
        <charset val="1"/>
      </rPr>
      <t xml:space="preserve">, SENCAMER </t>
    </r>
    <r>
      <rPr>
        <sz val="10"/>
        <rFont val="WenQuanYi Zen Hei"/>
        <family val="2"/>
      </rPr>
      <t xml:space="preserve">인증</t>
    </r>
  </si>
  <si>
    <t xml:space="preserve">독점유통</t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</si>
  <si>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전속 – 시장정보용</t>
    </r>
  </si>
  <si>
    <t xml:space="preserve">https://cas-ve.com/</t>
  </si>
  <si>
    <t xml:space="preserve">San Juan, Guaynabo</t>
  </si>
  <si>
    <t xml:space="preserve">ssmfse@gmail.com; ssmhse@gmail.com</t>
  </si>
  <si>
    <t xml:space="preserve">ssmfoodservice.com; infopaginas</t>
  </si>
  <si>
    <t xml:space="preserve">Tel 787-763-2966 / 2965; FB SSMFoodservicePR</t>
  </si>
  <si>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식품장비 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디렉토리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</si>
  <si>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식품소매 장비 채널 </t>
    </r>
    <r>
      <rPr>
        <sz val="10"/>
        <rFont val="Arial"/>
        <family val="0"/>
        <charset val="1"/>
      </rPr>
      <t xml:space="preserve">(NTEP </t>
    </r>
    <r>
      <rPr>
        <sz val="10"/>
        <rFont val="WenQuanYi Zen Hei"/>
        <family val="2"/>
      </rPr>
      <t xml:space="preserve">인증 필요</t>
    </r>
    <r>
      <rPr>
        <sz val="10"/>
        <rFont val="Arial"/>
        <family val="0"/>
        <charset val="1"/>
      </rPr>
      <t xml:space="preserve">)</t>
    </r>
  </si>
  <si>
    <t xml:space="preserve">https://en.infopaginas.com/search/compare/anasco/scales</t>
  </si>
  <si>
    <t xml:space="preserve">San Juan</t>
  </si>
  <si>
    <t xml:space="preserve">sbm-pr.com</t>
  </si>
  <si>
    <t xml:space="preserve">facebook.com/SuperBusinessMachines</t>
  </si>
  <si>
    <r>
      <rPr>
        <sz val="10"/>
        <rFont val="WenQuanYi Zen Hei"/>
        <family val="2"/>
      </rPr>
      <t xml:space="preserve">공식 문의폼 </t>
    </r>
    <r>
      <rPr>
        <sz val="10"/>
        <rFont val="Arial"/>
        <family val="0"/>
        <charset val="1"/>
      </rPr>
      <t xml:space="preserve">sbm-pr.com/en/Contact_Us; Tel 787-785-4310; </t>
    </r>
    <r>
      <rPr>
        <sz val="10"/>
        <rFont val="WenQuanYi Zen Hei"/>
        <family val="2"/>
      </rPr>
      <t xml:space="preserve">주소 </t>
    </r>
    <r>
      <rPr>
        <sz val="10"/>
        <rFont val="Arial"/>
        <family val="0"/>
        <charset val="1"/>
      </rPr>
      <t xml:space="preserve">Bayamón</t>
    </r>
  </si>
  <si>
    <r>
      <rPr>
        <sz val="10"/>
        <rFont val="Arial"/>
        <family val="0"/>
        <charset val="1"/>
      </rPr>
      <t xml:space="preserve">SAM4s POS + CAS </t>
    </r>
    <r>
      <rPr>
        <sz val="10"/>
        <rFont val="WenQuanYi Zen Hei"/>
        <family val="2"/>
      </rPr>
      <t xml:space="preserve">저울 독점</t>
    </r>
    <r>
      <rPr>
        <sz val="10"/>
        <rFont val="Arial"/>
        <family val="0"/>
        <charset val="1"/>
      </rPr>
      <t xml:space="preserve">, 1986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~</t>
    </r>
  </si>
  <si>
    <r>
      <rPr>
        <sz val="10"/>
        <rFont val="WenQuanYi Zen Hei"/>
        <family val="2"/>
      </rPr>
      <t xml:space="preserve">독점유통</t>
    </r>
    <r>
      <rPr>
        <sz val="10"/>
        <rFont val="Arial"/>
        <family val="0"/>
        <charset val="1"/>
      </rPr>
      <t xml:space="preserve">(POS)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</si>
  <si>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독점</t>
    </r>
  </si>
  <si>
    <t xml:space="preserve">https://www.sbm-pr.com/en/Home</t>
  </si>
  <si>
    <t xml:space="preserve">Bayamón</t>
  </si>
  <si>
    <t xml:space="preserve">787-644-5415</t>
  </si>
  <si>
    <t xml:space="preserve">facebook.com/PRScaleServicesInc; infopaginas</t>
  </si>
  <si>
    <t xml:space="preserve">Tel 787-798-9955 / 787-908-7711</t>
  </si>
  <si>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금전등록기 서비스</t>
    </r>
  </si>
  <si>
    <t xml:space="preserve">https://www.buzzfile.com/business/PR-Scale-Services-Inc-787-644-5415</t>
  </si>
  <si>
    <t xml:space="preserve">Lima (Puente Piedra)</t>
  </si>
  <si>
    <t xml:space="preserve">gufraperu.com</t>
  </si>
  <si>
    <t xml:space="preserve">ventas@gufraperu.com; administracion@gufraperu.com</t>
  </si>
  <si>
    <t xml:space="preserve">gufraperu.com/contacto/</t>
  </si>
  <si>
    <t xml:space="preserve">+51 922 633 020; +51 933 395 701</t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</si>
  <si>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(CL-5200P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산업용 저울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</si>
  <si>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(CAS)</t>
    </r>
  </si>
  <si>
    <r>
      <rPr>
        <sz val="10"/>
        <rFont val="WenQuanYi Zen Hei"/>
        <family val="2"/>
      </rPr>
      <t xml:space="preserve">한국 </t>
    </r>
    <r>
      <rPr>
        <sz val="10"/>
        <rFont val="Arial"/>
        <family val="0"/>
        <charset val="1"/>
      </rPr>
      <t xml:space="preserve">CAS</t>
    </r>
    <r>
      <rPr>
        <sz val="10"/>
        <rFont val="WenQuanYi Zen Hei"/>
        <family val="2"/>
      </rPr>
      <t xml:space="preserve">를 슈퍼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상점에 판매 중 → 세컨드라인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전환</t>
    </r>
  </si>
  <si>
    <t xml:space="preserve">https://gufraperu.com/balanzas-etiquetadoras/</t>
  </si>
  <si>
    <t xml:space="preserve">Lima (Barranco)</t>
  </si>
  <si>
    <t xml:space="preserve">invercorp-peru.com</t>
  </si>
  <si>
    <t xml:space="preserve">(01) 764 5018; 957 570 011</t>
  </si>
  <si>
    <t xml:space="preserve">invercorp-peru.com/contacto/</t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</si>
  <si>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라벨저울 수입</t>
    </r>
    <r>
      <rPr>
        <sz val="10"/>
        <rFont val="Arial"/>
        <family val="0"/>
        <charset val="1"/>
      </rPr>
      <t xml:space="preserve">(SM-110), </t>
    </r>
    <r>
      <rPr>
        <sz val="10"/>
        <rFont val="WenQuanYi Zen Hei"/>
        <family val="2"/>
      </rPr>
      <t xml:space="preserve">냉장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식품가공 장비</t>
    </r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</si>
  <si>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식품소매 납품</t>
    </r>
  </si>
  <si>
    <t xml:space="preserve">https://www.invercorp-peru.com/linea-de-pesaje/balanzas-etiquetadoras/</t>
  </si>
  <si>
    <t xml:space="preserve">Lima (Pueblo Libre)</t>
  </si>
  <si>
    <t xml:space="preserve">miyake.pe</t>
  </si>
  <si>
    <t xml:space="preserve">info@miyake.com.pe; asistente@miyake.com.pe</t>
  </si>
  <si>
    <t xml:space="preserve">miyake.pe/contacto/</t>
  </si>
  <si>
    <t xml:space="preserve">01-463-1325; 996295464; 997520612 (Pueblo Libre)</t>
  </si>
  <si>
    <r>
      <rPr>
        <sz val="10"/>
        <rFont val="Arial"/>
        <family val="0"/>
        <charset val="1"/>
      </rPr>
      <t xml:space="preserve">CAS CL5200 </t>
    </r>
    <r>
      <rPr>
        <sz val="10"/>
        <rFont val="WenQuanYi Zen Hei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</si>
  <si>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라벨저울 판매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서비스</t>
    </r>
  </si>
  <si>
    <t xml:space="preserve">https://www.miyake.pe/producto/balanzas-electronicas/balanzas-etiquetadoras/balanza-etiquetadora-cl-5200/</t>
  </si>
  <si>
    <t xml:space="preserve">Lima, Arequipa</t>
  </si>
  <si>
    <t xml:space="preserve">lacasadelabalanzaperu.com</t>
  </si>
  <si>
    <t xml:space="preserve">967 272 184</t>
  </si>
  <si>
    <r>
      <rPr>
        <sz val="10"/>
        <rFont val="Arial"/>
        <family val="0"/>
        <charset val="1"/>
      </rPr>
      <t xml:space="preserve">DIGI, Teraoka </t>
    </r>
    <r>
      <rPr>
        <sz val="10"/>
        <rFont val="WenQuanYi Zen Hei"/>
        <family val="2"/>
      </rPr>
      <t xml:space="preserve">라벨저울</t>
    </r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</si>
  <si>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취급</t>
    </r>
    <r>
      <rPr>
        <sz val="10"/>
        <rFont val="Arial"/>
        <family val="0"/>
        <charset val="1"/>
      </rPr>
      <t xml:space="preserve">, 2</t>
    </r>
    <r>
      <rPr>
        <sz val="10"/>
        <rFont val="WenQuanYi Zen Hei"/>
        <family val="2"/>
      </rPr>
      <t xml:space="preserve">개 도시 매장</t>
    </r>
  </si>
  <si>
    <t xml:space="preserve">https://lacasadelabalanzaperu.com/balanza-digital-etiquetadora/</t>
  </si>
  <si>
    <t xml:space="preserve">Lima (SMP), Arequipa</t>
  </si>
  <si>
    <t xml:space="preserve">balanzasprecisur.com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</si>
  <si>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관련 </t>
    </r>
    <r>
      <rPr>
        <sz val="10"/>
        <rFont val="Arial"/>
        <family val="0"/>
        <charset val="1"/>
      </rPr>
      <t xml:space="preserve">balanzaslima.com 992 809 360)</t>
    </r>
  </si>
  <si>
    <t xml:space="preserve">balanzasprecisur.com/contactenos/</t>
  </si>
  <si>
    <t xml:space="preserve">WA +51 944 448 338 / +51 958 030 083</t>
  </si>
  <si>
    <r>
      <rPr>
        <sz val="10"/>
        <rFont val="WenQuanYi Zen Hei"/>
        <family val="2"/>
      </rPr>
      <t xml:space="preserve">슈퍼용 라벨저울 </t>
    </r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교정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</si>
  <si>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슈퍼 마케팅</t>
    </r>
    <r>
      <rPr>
        <sz val="10"/>
        <rFont val="Arial"/>
        <family val="0"/>
        <charset val="1"/>
      </rPr>
      <t xml:space="preserve">, balanzaslima.com</t>
    </r>
    <r>
      <rPr>
        <sz val="10"/>
        <rFont val="WenQuanYi Zen Hei"/>
        <family val="2"/>
      </rPr>
      <t xml:space="preserve">과 같은 그룹 추정</t>
    </r>
  </si>
  <si>
    <t xml:space="preserve">https://balanzasprecisur.com/balanza-etiquetadora-para-supermercados/</t>
  </si>
  <si>
    <t xml:space="preserve">Lima, Arequipa, Cusco</t>
  </si>
  <si>
    <t xml:space="preserve">balanzas.pe</t>
  </si>
  <si>
    <t xml:space="preserve">(01) 734 54 34</t>
  </si>
  <si>
    <r>
      <rPr>
        <sz val="10"/>
        <rFont val="Arial"/>
        <family val="0"/>
        <charset val="1"/>
      </rPr>
      <t xml:space="preserve">WA +51 992 558 338; Precisur</t>
    </r>
    <r>
      <rPr>
        <sz val="10"/>
        <rFont val="WenQuanYi Zen Hei"/>
        <family val="2"/>
      </rPr>
      <t xml:space="preserve">와 동일 운영사 추정</t>
    </r>
  </si>
  <si>
    <r>
      <rPr>
        <sz val="10"/>
        <rFont val="WenQuanYi Zen Hei"/>
        <family val="2"/>
      </rPr>
      <t xml:space="preserve">소매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도매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라벨저울</t>
    </r>
  </si>
  <si>
    <t xml:space="preserve">다지역 커버</t>
  </si>
  <si>
    <t xml:space="preserve">https://balanzas.pe/balanzas-etiquetadoras/</t>
  </si>
  <si>
    <t xml:space="preserve">Tegucigalpa / Managua</t>
  </si>
  <si>
    <t xml:space="preserve">rrinversiones.com</t>
  </si>
  <si>
    <r>
      <rPr>
        <sz val="10"/>
        <rFont val="WenQuanYi Zen Hei"/>
        <family val="2"/>
      </rPr>
      <t xml:space="preserve">⚠ 페루가 아니라 온두라스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니카라과 업체로 확인 </t>
    </r>
    <r>
      <rPr>
        <sz val="10"/>
        <rFont val="Arial"/>
        <family val="0"/>
        <charset val="1"/>
      </rPr>
      <t xml:space="preserve">((504) 2225-5535, (505) 2276-1795)</t>
    </r>
  </si>
  <si>
    <t xml:space="preserve">DIGI SM-120</t>
  </si>
  <si>
    <t xml:space="preserve">라벨저울 판매 중</t>
  </si>
  <si>
    <t xml:space="preserve">https://rrinversiones.com/producto/rr-116/</t>
  </si>
  <si>
    <t xml:space="preserve">Balanzas Calibra</t>
  </si>
  <si>
    <t xml:space="preserve">Lima</t>
  </si>
  <si>
    <t xml:space="preserve">balanzascalibra.com</t>
  </si>
  <si>
    <t xml:space="preserve">964 381 357</t>
  </si>
  <si>
    <r>
      <rPr>
        <sz val="10"/>
        <rFont val="WenQuanYi Zen Hei"/>
        <family val="2"/>
      </rPr>
      <t xml:space="preserve">이메일 미공개 – </t>
    </r>
    <r>
      <rPr>
        <sz val="10"/>
        <rFont val="Arial"/>
        <family val="0"/>
        <charset val="1"/>
      </rPr>
      <t xml:space="preserve">WA 964381357 / 968705819</t>
    </r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</si>
  <si>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전국 배송</t>
    </r>
  </si>
  <si>
    <t xml:space="preserve">소규모 리셀러</t>
  </si>
  <si>
    <t xml:space="preserve">https://balanzascalibra.com/balanzas-digi/</t>
  </si>
  <si>
    <t xml:space="preserve">pymatek.pe</t>
  </si>
  <si>
    <r>
      <rPr>
        <sz val="10"/>
        <rFont val="Arial"/>
        <family val="0"/>
        <charset val="1"/>
      </rPr>
      <t xml:space="preserve">Mettler Toledo </t>
    </r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자동화</t>
    </r>
  </si>
  <si>
    <r>
      <rPr>
        <sz val="10"/>
        <rFont val="WenQuanYi Zen Hei"/>
        <family val="2"/>
      </rPr>
      <t xml:space="preserve">산업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자동화 중심</t>
    </r>
  </si>
  <si>
    <t xml:space="preserve">https://www.pymatek.pe/manufacturers/440-mettler-toledo/</t>
  </si>
  <si>
    <t xml:space="preserve">Santiago (La Cisterna)</t>
  </si>
  <si>
    <t xml:space="preserve">tecnorebas.cl</t>
  </si>
  <si>
    <t xml:space="preserve">+56 9 8334 7255 / +56 9 3374 4246</t>
  </si>
  <si>
    <r>
      <rPr>
        <sz val="10"/>
        <rFont val="Arial"/>
        <family val="0"/>
        <charset val="1"/>
      </rPr>
      <t xml:space="preserve">DIGI </t>
    </r>
    <r>
      <rPr>
        <sz val="10"/>
        <rFont val="WenQuanYi Zen Hei"/>
        <family val="2"/>
      </rPr>
      <t xml:space="preserve">가격계산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금전등록기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슬라이서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쇼케이스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</si>
  <si>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업소장비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</si>
  <si>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정육점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델리 납품</t>
    </r>
    <r>
      <rPr>
        <sz val="10"/>
        <rFont val="Arial"/>
        <family val="0"/>
        <charset val="1"/>
      </rPr>
      <t xml:space="preserve">, DIGI </t>
    </r>
    <r>
      <rPr>
        <sz val="10"/>
        <rFont val="WenQuanYi Zen Hei"/>
        <family val="2"/>
      </rPr>
      <t xml:space="preserve">취급</t>
    </r>
  </si>
  <si>
    <t xml:space="preserve">https://tecnorebas.cl/contactenos</t>
  </si>
  <si>
    <t xml:space="preserve">ingmetrica.cl</t>
  </si>
  <si>
    <t xml:space="preserve">+56 9 3030 4527; +56 44 3163412</t>
  </si>
  <si>
    <r>
      <rPr>
        <sz val="10"/>
        <rFont val="Arial"/>
        <family val="0"/>
        <charset val="1"/>
      </rPr>
      <t xml:space="preserve">Dibal </t>
    </r>
    <r>
      <rPr>
        <sz val="10"/>
        <rFont val="WenQuanYi Zen Hei"/>
        <family val="2"/>
      </rPr>
      <t xml:space="preserve">공식 유통</t>
    </r>
    <r>
      <rPr>
        <sz val="10"/>
        <rFont val="Arial"/>
        <family val="0"/>
        <charset val="1"/>
      </rPr>
      <t xml:space="preserve">, Inspectra, </t>
    </r>
    <r>
      <rPr>
        <sz val="10"/>
        <rFont val="WenQuanYi Zen Hei"/>
        <family val="2"/>
      </rPr>
      <t xml:space="preserve">라벨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셀프저울</t>
    </r>
  </si>
  <si>
    <r>
      <rPr>
        <sz val="10"/>
        <rFont val="WenQuanYi Zen Hei"/>
        <family val="2"/>
      </rPr>
      <t xml:space="preserve">슈퍼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정육 라벨저울 전문 </t>
    </r>
    <r>
      <rPr>
        <sz val="10"/>
        <rFont val="Arial"/>
        <family val="0"/>
        <charset val="1"/>
      </rPr>
      <t xml:space="preserve">(Dibal </t>
    </r>
    <r>
      <rPr>
        <sz val="10"/>
        <rFont val="WenQuanYi Zen Hei"/>
        <family val="2"/>
      </rPr>
      <t xml:space="preserve">독점 충돌 가능</t>
    </r>
    <r>
      <rPr>
        <sz val="10"/>
        <rFont val="Arial"/>
        <family val="0"/>
        <charset val="1"/>
      </rPr>
      <t xml:space="preserve">)</t>
    </r>
  </si>
  <si>
    <t xml:space="preserve">https://www.ingmetrica.cl/</t>
  </si>
  <si>
    <t xml:space="preserve">Chile</t>
  </si>
  <si>
    <t xml:space="preserve">balanzas.cl</t>
  </si>
  <si>
    <t xml:space="preserve">+56 9 9831 9988</t>
  </si>
  <si>
    <r>
      <rPr>
        <sz val="10"/>
        <rFont val="Arial"/>
        <family val="0"/>
        <charset val="1"/>
      </rPr>
      <t xml:space="preserve">DIBAL·DIGI </t>
    </r>
    <r>
      <rPr>
        <sz val="10"/>
        <rFont val="WenQuanYi Zen Hei"/>
        <family val="2"/>
      </rPr>
      <t xml:space="preserve">공인 유통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서비스</t>
    </r>
  </si>
  <si>
    <t xml:space="preserve">소매 라벨저울 전문</t>
  </si>
  <si>
    <t xml:space="preserve">https://www.balanzas.cl/</t>
  </si>
  <si>
    <r>
      <rPr>
        <sz val="10"/>
        <rFont val="Arial"/>
        <family val="0"/>
        <charset val="1"/>
      </rPr>
      <t xml:space="preserve">Santiago (Huechuraba), </t>
    </r>
    <r>
      <rPr>
        <sz val="10"/>
        <rFont val="WenQuanYi Zen Hei"/>
        <family val="2"/>
      </rPr>
      <t xml:space="preserve">페루 지사</t>
    </r>
  </si>
  <si>
    <t xml:space="preserve">precision.tech/cl</t>
  </si>
  <si>
    <t xml:space="preserve">+56 2 2422 6000</t>
  </si>
  <si>
    <r>
      <rPr>
        <sz val="10"/>
        <rFont val="Arial"/>
        <family val="0"/>
        <charset val="1"/>
      </rPr>
      <t xml:space="preserve">Mettler Toledo 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(bCom-S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실험장비</t>
    </r>
  </si>
  <si>
    <r>
      <rPr>
        <sz val="10"/>
        <rFont val="WenQuanYi Zen Hei"/>
        <family val="2"/>
      </rPr>
      <t xml:space="preserve">대형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리테일 서비스</t>
    </r>
    <r>
      <rPr>
        <sz val="10"/>
        <rFont val="Arial"/>
        <family val="0"/>
        <charset val="1"/>
      </rPr>
      <t xml:space="preserve">, Mettler </t>
    </r>
    <r>
      <rPr>
        <sz val="10"/>
        <rFont val="WenQuanYi Zen Hei"/>
        <family val="2"/>
      </rPr>
      <t xml:space="preserve">묶임</t>
    </r>
  </si>
  <si>
    <t xml:space="preserve">https://www.precision.tech/cl/productos/pesaje/pesaje-retail/balanzas-etiquetadoras</t>
  </si>
  <si>
    <t xml:space="preserve">Santiago (Macul)</t>
  </si>
  <si>
    <t xml:space="preserve">maq-equipos.cl</t>
  </si>
  <si>
    <t xml:space="preserve">+56 9 9334 0845</t>
  </si>
  <si>
    <r>
      <rPr>
        <sz val="10"/>
        <rFont val="Arial"/>
        <family val="0"/>
        <charset val="1"/>
      </rPr>
      <t xml:space="preserve">Mettler </t>
    </r>
    <r>
      <rPr>
        <sz val="10"/>
        <rFont val="WenQuanYi Zen Hei"/>
        <family val="2"/>
      </rPr>
      <t xml:space="preserve">가격계산 저울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리퍼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식품장비</t>
    </r>
  </si>
  <si>
    <t xml:space="preserve">식품소매 장비 딜러</t>
  </si>
  <si>
    <t xml:space="preserve">https://www.maq-equipos.cl/41-balanza-mettler-toledo-tipificadoras</t>
  </si>
  <si>
    <t xml:space="preserve">Santiago (Las Condes)</t>
  </si>
  <si>
    <t xml:space="preserve">contacto@grupoempack.cl; consulta@empack.cl</t>
  </si>
  <si>
    <t xml:space="preserve">grupoempack.cl/en/contacto; all.biz</t>
  </si>
  <si>
    <t xml:space="preserve">(56-2) 2569 7500</t>
  </si>
  <si>
    <r>
      <rPr>
        <sz val="10"/>
        <rFont val="Arial"/>
        <family val="0"/>
        <charset val="1"/>
      </rPr>
      <t xml:space="preserve">Bizerba </t>
    </r>
    <r>
      <rPr>
        <sz val="10"/>
        <rFont val="WenQuanYi Zen Hei"/>
        <family val="2"/>
      </rPr>
      <t xml:space="preserve">상업용 저울</t>
    </r>
  </si>
  <si>
    <t xml:space="preserve">근거 약함</t>
  </si>
  <si>
    <t xml:space="preserve">https://3856-cl.all.biz/balanza-mcg3293</t>
  </si>
  <si>
    <t xml:space="preserve">tecnobalanzas.cl</t>
  </si>
  <si>
    <t xml:space="preserve">저울</t>
  </si>
  <si>
    <r>
      <rPr>
        <sz val="10"/>
        <rFont val="Arial"/>
        <family val="0"/>
        <charset val="1"/>
      </rPr>
      <t xml:space="preserve">Tecno Rebas</t>
    </r>
    <r>
      <rPr>
        <sz val="10"/>
        <rFont val="WenQuanYi Zen Hei"/>
        <family val="2"/>
      </rPr>
      <t xml:space="preserve">와 동일 주소 – 확인</t>
    </r>
  </si>
  <si>
    <t xml:space="preserve">https://tecnobalanzas.cl/</t>
  </si>
  <si>
    <t xml:space="preserve">systel-global.com/chile</t>
  </si>
  <si>
    <t xml:space="preserve">systel-global.com/chile/contacto/</t>
  </si>
  <si>
    <t xml:space="preserve">아르헨 본사 연락처만 존재</t>
  </si>
  <si>
    <r>
      <rPr>
        <sz val="10"/>
        <rFont val="Arial"/>
        <family val="0"/>
        <charset val="1"/>
      </rPr>
      <t xml:space="preserve">Systel(</t>
    </r>
    <r>
      <rPr>
        <sz val="10"/>
        <rFont val="WenQuanYi Zen Hei"/>
        <family val="2"/>
      </rPr>
      <t xml:space="preserve">아르헨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소매저울</t>
    </r>
  </si>
  <si>
    <t xml:space="preserve">브랜드 지사</t>
  </si>
  <si>
    <t xml:space="preserve">경쟁 브랜드 – 시장정보용</t>
  </si>
  <si>
    <t xml:space="preserve">https://systel-global.com/chile/</t>
  </si>
  <si>
    <t xml:space="preserve">La Paz</t>
  </si>
  <si>
    <t xml:space="preserve">casbolivia.com</t>
  </si>
  <si>
    <t xml:space="preserve">info@cas-bo.com; ventas@cas-bo.com</t>
  </si>
  <si>
    <t xml:space="preserve">casbolivia.com/contacto</t>
  </si>
  <si>
    <r>
      <rPr>
        <sz val="10"/>
        <rFont val="WenQuanYi Zen Hei"/>
        <family val="2"/>
      </rPr>
      <t xml:space="preserve">현 사이트 </t>
    </r>
    <r>
      <rPr>
        <sz val="10"/>
        <rFont val="Arial"/>
        <family val="0"/>
        <charset val="1"/>
      </rPr>
      <t xml:space="preserve">casbolivia.com; +591-2-2414477; 76232262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</si>
  <si>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상업용 저울</t>
    </r>
    <r>
      <rPr>
        <sz val="10"/>
        <rFont val="Arial"/>
        <family val="0"/>
        <charset val="1"/>
      </rPr>
      <t xml:space="preserve">, CL-7200·CL-5200</t>
    </r>
  </si>
  <si>
    <r>
      <rPr>
        <sz val="10"/>
        <rFont val="WenQuanYi Zen Hei"/>
        <family val="2"/>
      </rPr>
      <t xml:space="preserve">볼리비아 </t>
    </r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라벨저울 채널 → 전환 타깃</t>
    </r>
  </si>
  <si>
    <t xml:space="preserve">https://gnb.com.bo/guia/Comercio,-importaciones-y-exportaciones/Balanzas-y-basculas.html</t>
  </si>
  <si>
    <t xml:space="preserve">Santa Cruz</t>
  </si>
  <si>
    <t xml:space="preserve">exim.com.bo</t>
  </si>
  <si>
    <t xml:space="preserve">+591 3 3336363; +591 69059233</t>
  </si>
  <si>
    <r>
      <rPr>
        <sz val="10"/>
        <rFont val="WenQuanYi Zen Hei"/>
        <family val="2"/>
      </rPr>
      <t xml:space="preserve">상업용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플랫폼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트럭 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농산업</t>
    </r>
  </si>
  <si>
    <t xml:space="preserve">상업용 포함 폭넓은 계량 라인</t>
  </si>
  <si>
    <t xml:space="preserve">https://exim.com.bo/contacto/</t>
  </si>
  <si>
    <t xml:space="preserve">pesotodo.com</t>
  </si>
  <si>
    <t xml:space="preserve">+591 75646170</t>
  </si>
  <si>
    <r>
      <rPr>
        <sz val="10"/>
        <rFont val="Arial"/>
        <family val="0"/>
        <charset val="1"/>
      </rPr>
      <t xml:space="preserve">Toledo do Brasil, OHAUS </t>
    </r>
    <r>
      <rPr>
        <sz val="10"/>
        <rFont val="WenQuanYi Zen Hei"/>
        <family val="2"/>
      </rPr>
      <t xml:space="preserve">대리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교정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</si>
  <si>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서비스</t>
    </r>
  </si>
  <si>
    <r>
      <rPr>
        <sz val="10"/>
        <rFont val="WenQuanYi Zen Hei"/>
        <family val="2"/>
      </rPr>
      <t xml:space="preserve">등록 수입사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서비스 역량</t>
    </r>
  </si>
  <si>
    <t xml:space="preserve">http://boliviapymes.com/ficha/pesotodo-srl-77664</t>
  </si>
  <si>
    <r>
      <rPr>
        <sz val="10"/>
        <rFont val="Arial"/>
        <family val="0"/>
        <charset val="1"/>
      </rPr>
      <t xml:space="preserve">3480055 (</t>
    </r>
    <r>
      <rPr>
        <sz val="10"/>
        <rFont val="WenQuanYi Zen Hei"/>
        <family val="2"/>
      </rPr>
      <t xml:space="preserve">디렉토리</t>
    </r>
    <r>
      <rPr>
        <sz val="10"/>
        <rFont val="Arial"/>
        <family val="0"/>
        <charset val="1"/>
      </rPr>
      <t xml:space="preserve">)</t>
    </r>
  </si>
  <si>
    <t xml:space="preserve">1596-bo.all.biz</t>
  </si>
  <si>
    <t xml:space="preserve">+591 3 348-0055</t>
  </si>
  <si>
    <r>
      <rPr>
        <sz val="10"/>
        <rFont val="WenQuanYi Zen Hei"/>
        <family val="2"/>
      </rPr>
      <t xml:space="preserve">계량장비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저울 </t>
    </r>
    <r>
      <rPr>
        <sz val="10"/>
        <rFont val="Arial"/>
        <family val="0"/>
        <charset val="1"/>
      </rPr>
      <t xml:space="preserve">SW, </t>
    </r>
    <r>
      <rPr>
        <sz val="10"/>
        <rFont val="WenQuanYi Zen Hei"/>
        <family val="2"/>
      </rPr>
      <t xml:space="preserve">자체 공장</t>
    </r>
  </si>
  <si>
    <r>
      <rPr>
        <sz val="10"/>
        <rFont val="WenQuanYi Zen Hei"/>
        <family val="2"/>
      </rPr>
      <t xml:space="preserve">제조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딜러</t>
    </r>
  </si>
  <si>
    <t xml:space="preserve">https://amarillas.bo/empresa/zelada-precision-srl</t>
  </si>
  <si>
    <t xml:space="preserve">metrica.com.bo</t>
  </si>
  <si>
    <t xml:space="preserve">info@metrica.com.bo; comercial@metrica.com.bo</t>
  </si>
  <si>
    <t xml:space="preserve">metrica.com.bo/inicio/nosotros</t>
  </si>
  <si>
    <t xml:space="preserve">WA +591 71538792</t>
  </si>
  <si>
    <r>
      <rPr>
        <sz val="10"/>
        <rFont val="Arial"/>
        <family val="0"/>
        <charset val="1"/>
      </rPr>
      <t xml:space="preserve">Mettler Toledo </t>
    </r>
    <r>
      <rPr>
        <sz val="10"/>
        <rFont val="WenQuanYi Zen Hei"/>
        <family val="2"/>
      </rPr>
      <t xml:space="preserve">산업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트럭저울</t>
    </r>
  </si>
  <si>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산업</t>
    </r>
    <r>
      <rPr>
        <sz val="10"/>
        <rFont val="Arial"/>
        <family val="0"/>
        <charset val="1"/>
      </rPr>
      <t xml:space="preserve">)</t>
    </r>
  </si>
  <si>
    <t xml:space="preserve">https://www.mt.com/bo</t>
  </si>
  <si>
    <t xml:space="preserve">Buenos Aires (Ricardo Rojas)</t>
  </si>
  <si>
    <t xml:space="preserve">compania.grupohasar.com</t>
  </si>
  <si>
    <t xml:space="preserve">+54 11 4117 8900</t>
  </si>
  <si>
    <r>
      <rPr>
        <sz val="10"/>
        <rFont val="WenQuanYi Zen Hei"/>
        <family val="2"/>
      </rPr>
      <t xml:space="preserve">문의폼 </t>
    </r>
    <r>
      <rPr>
        <sz val="10"/>
        <rFont val="Arial"/>
        <family val="0"/>
        <charset val="1"/>
      </rPr>
      <t xml:space="preserve">sistemas.grupohasar.com/contacto/; ventas@grupohasar.com(</t>
    </r>
    <r>
      <rPr>
        <sz val="10"/>
        <rFont val="WenQuanYi Zen Hei"/>
        <family val="2"/>
      </rPr>
      <t xml:space="preserve">약한 출처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</si>
  <si>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DIGI SM </t>
    </r>
    <r>
      <rPr>
        <sz val="10"/>
        <rFont val="WenQuanYi Zen Hei"/>
        <family val="2"/>
      </rPr>
      <t xml:space="preserve">라벨저울 자체브랜드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재정프린터</t>
    </r>
    <r>
      <rPr>
        <sz val="10"/>
        <rFont val="Arial"/>
        <family val="0"/>
        <charset val="1"/>
      </rPr>
      <t xml:space="preserve">, POS; INTI </t>
    </r>
    <r>
      <rPr>
        <sz val="10"/>
        <rFont val="WenQuanYi Zen Hei"/>
        <family val="2"/>
      </rPr>
      <t xml:space="preserve">승인 경험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</si>
  <si>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브랜드</t>
    </r>
    <r>
      <rPr>
        <sz val="10"/>
        <rFont val="Arial"/>
        <family val="0"/>
        <charset val="1"/>
      </rPr>
      <t xml:space="preserve">(POS)</t>
    </r>
  </si>
  <si>
    <r>
      <rPr>
        <sz val="10"/>
        <rFont val="WenQuanYi Zen Hei"/>
        <family val="2"/>
      </rPr>
      <t xml:space="preserve">외산 라벨저울 수입</t>
    </r>
    <r>
      <rPr>
        <sz val="10"/>
        <rFont val="Arial"/>
        <family val="0"/>
        <charset val="1"/>
      </rPr>
      <t xml:space="preserve">+INTI </t>
    </r>
    <r>
      <rPr>
        <sz val="10"/>
        <rFont val="WenQuanYi Zen Hei"/>
        <family val="2"/>
      </rPr>
      <t xml:space="preserve">승인 경험</t>
    </r>
    <r>
      <rPr>
        <sz val="10"/>
        <rFont val="Arial"/>
        <family val="0"/>
        <charset val="1"/>
      </rPr>
      <t xml:space="preserve">, SM-5300 </t>
    </r>
    <r>
      <rPr>
        <sz val="10"/>
        <rFont val="WenQuanYi Zen Hei"/>
        <family val="2"/>
      </rPr>
      <t xml:space="preserve">단종 → 대체품 필요 가능</t>
    </r>
  </si>
  <si>
    <t xml:space="preserve">https://compania.grupohasar.com/categoria-producto/balanzas/</t>
  </si>
  <si>
    <t xml:space="preserve">Caracas (Chacao)/Miranda</t>
  </si>
  <si>
    <t xml:space="preserve">laserprintsoluciones.com</t>
  </si>
  <si>
    <t xml:space="preserve">ventas@laserprintsoluciones.com; info@laserprintsoluciones.com</t>
  </si>
  <si>
    <t xml:space="preserve">laserprintsoluciones.com/contacto/</t>
  </si>
  <si>
    <r>
      <rPr>
        <sz val="10"/>
        <rFont val="WenQuanYi Zen Hei"/>
        <family val="2"/>
      </rPr>
      <t xml:space="preserve">⚠ 아르헨티나가 아니라 베네수엘라 업체 </t>
    </r>
    <r>
      <rPr>
        <sz val="10"/>
        <rFont val="Arial"/>
        <family val="0"/>
        <charset val="1"/>
      </rPr>
      <t xml:space="preserve">(WA +58 414 3235239)</t>
    </r>
  </si>
  <si>
    <t xml:space="preserve">CAS CL-5200P, Aclas LS2</t>
  </si>
  <si>
    <r>
      <rPr>
        <sz val="10"/>
        <rFont val="WenQuanYi Zen Hei"/>
        <family val="2"/>
      </rPr>
      <t xml:space="preserve">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확인 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</si>
  <si>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POS·</t>
    </r>
    <r>
      <rPr>
        <sz val="10"/>
        <rFont val="WenQuanYi Zen Hei"/>
        <family val="2"/>
      </rPr>
      <t xml:space="preserve">재정프린터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토너 업체</t>
    </r>
    <r>
      <rPr>
        <sz val="10"/>
        <rFont val="Arial"/>
        <family val="0"/>
        <charset val="1"/>
      </rPr>
      <t xml:space="preserve">, CAS CL-5200P·Aclas </t>
    </r>
    <r>
      <rPr>
        <sz val="10"/>
        <rFont val="WenQuanYi Zen Hei"/>
        <family val="2"/>
      </rPr>
      <t xml:space="preserve">판매 페이지 있음</t>
    </r>
  </si>
  <si>
    <t xml:space="preserve">https://www.laserprintsoluciones.com/producto/balanza-etiquetadora-cas-cl-5200p/</t>
  </si>
  <si>
    <t xml:space="preserve">Argentina</t>
  </si>
  <si>
    <t xml:space="preserve">fdcsolucionessrl.com</t>
  </si>
  <si>
    <t xml:space="preserve">facebook.com/fdcsolucionessrl/</t>
  </si>
  <si>
    <t xml:space="preserve">Rafaela, Santa Fe</t>
  </si>
  <si>
    <r>
      <rPr>
        <sz val="10"/>
        <rFont val="Arial"/>
        <family val="0"/>
        <charset val="1"/>
      </rPr>
      <t xml:space="preserve">Hasar/Digi, Kretz, Systel 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, Zebra </t>
    </r>
    <r>
      <rPr>
        <sz val="10"/>
        <rFont val="WenQuanYi Zen Hei"/>
        <family val="2"/>
      </rPr>
      <t xml:space="preserve">라벨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재정프린터</t>
    </r>
  </si>
  <si>
    <r>
      <rPr>
        <sz val="10"/>
        <rFont val="Arial"/>
        <family val="0"/>
        <charset val="1"/>
      </rPr>
      <t xml:space="preserve">POS/</t>
    </r>
    <r>
      <rPr>
        <sz val="10"/>
        <rFont val="WenQuanYi Zen Hei"/>
        <family val="2"/>
      </rPr>
      <t xml:space="preserve">라벨링 통합</t>
    </r>
  </si>
  <si>
    <r>
      <rPr>
        <sz val="10"/>
        <rFont val="Arial"/>
        <family val="0"/>
        <charset val="1"/>
      </rPr>
      <t xml:space="preserve">POS+</t>
    </r>
    <r>
      <rPr>
        <sz val="10"/>
        <rFont val="WenQuanYi Zen Hei"/>
        <family val="2"/>
      </rPr>
      <t xml:space="preserve">라벨저울 판매</t>
    </r>
  </si>
  <si>
    <t xml:space="preserve">https://www.fdcsolucionessrl.com/equipos/balanzas</t>
  </si>
  <si>
    <t xml:space="preserve">posventar.com</t>
  </si>
  <si>
    <t xml:space="preserve">posvent.com.ar</t>
  </si>
  <si>
    <t xml:space="preserve">WA +54 9 11 6760-4389; Lomas de Zamora</t>
  </si>
  <si>
    <r>
      <rPr>
        <sz val="10"/>
        <rFont val="Arial"/>
        <family val="0"/>
        <charset val="1"/>
      </rPr>
      <t xml:space="preserve">Systel, Kretz </t>
    </r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, POS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</si>
  <si>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/POS </t>
    </r>
    <r>
      <rPr>
        <sz val="10"/>
        <rFont val="WenQuanYi Zen Hei"/>
        <family val="2"/>
      </rPr>
      <t xml:space="preserve">통합</t>
    </r>
  </si>
  <si>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통합사</t>
    </r>
  </si>
  <si>
    <t xml:space="preserve">https://posventar.com/productos/balanzas-electronicas</t>
  </si>
  <si>
    <t xml:space="preserve">balanza.com.ar</t>
  </si>
  <si>
    <t xml:space="preserve">info@kyaserv.com.ar; info@balanza.com.ar</t>
  </si>
  <si>
    <t xml:space="preserve">kyaserv.com.ar/web/contacto/</t>
  </si>
  <si>
    <t xml:space="preserve">WA +54 9 11 6516-0955</t>
  </si>
  <si>
    <r>
      <rPr>
        <sz val="10"/>
        <rFont val="Arial"/>
        <family val="0"/>
        <charset val="1"/>
      </rPr>
      <t xml:space="preserve">Systel, Kretz, Moretti; INTI </t>
    </r>
    <r>
      <rPr>
        <sz val="10"/>
        <rFont val="WenQuanYi Zen Hei"/>
        <family val="2"/>
      </rPr>
      <t xml:space="preserve">검정 서비스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</si>
  <si>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서비스</t>
    </r>
  </si>
  <si>
    <r>
      <rPr>
        <sz val="10"/>
        <rFont val="WenQuanYi Zen Hei"/>
        <family val="2"/>
      </rPr>
      <t xml:space="preserve">검정</t>
    </r>
    <r>
      <rPr>
        <sz val="10"/>
        <rFont val="Arial"/>
        <family val="0"/>
        <charset val="1"/>
      </rPr>
      <t xml:space="preserve">·AS </t>
    </r>
    <r>
      <rPr>
        <sz val="10"/>
        <rFont val="WenQuanYi Zen Hei"/>
        <family val="2"/>
      </rPr>
      <t xml:space="preserve">역량</t>
    </r>
  </si>
  <si>
    <t xml:space="preserve">https://balanza.com.ar/web/balanzas-comerciales/</t>
  </si>
  <si>
    <t xml:space="preserve">dcrams.com.ar</t>
  </si>
  <si>
    <t xml:space="preserve">dcrams.com.ar/contacto/</t>
  </si>
  <si>
    <t xml:space="preserve">WA 11 6355 3307; Vicente López</t>
  </si>
  <si>
    <r>
      <rPr>
        <sz val="10"/>
        <rFont val="Arial"/>
        <family val="0"/>
        <charset val="1"/>
      </rPr>
      <t xml:space="preserve">Kretz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(Report LT/NX)</t>
    </r>
  </si>
  <si>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유통</t>
    </r>
  </si>
  <si>
    <r>
      <rPr>
        <sz val="10"/>
        <rFont val="WenQuanYi Zen Hei"/>
        <family val="2"/>
      </rPr>
      <t xml:space="preserve">라벨저울 리셀러</t>
    </r>
    <r>
      <rPr>
        <sz val="10"/>
        <rFont val="Arial"/>
        <family val="0"/>
        <charset val="1"/>
      </rPr>
      <t xml:space="preserve">, Kretz </t>
    </r>
    <r>
      <rPr>
        <sz val="10"/>
        <rFont val="WenQuanYi Zen Hei"/>
        <family val="2"/>
      </rPr>
      <t xml:space="preserve">묶임</t>
    </r>
  </si>
  <si>
    <t xml:space="preserve">https://dcrams.com.ar/productos/balanzas</t>
  </si>
  <si>
    <t xml:space="preserve">stec.com.ar</t>
  </si>
  <si>
    <t xml:space="preserve">stec.com.ar/pages/contact</t>
  </si>
  <si>
    <t xml:space="preserve">Florida 716, CABA</t>
  </si>
  <si>
    <t xml:space="preserve">Kretz, Systel</t>
  </si>
  <si>
    <t xml:space="preserve">현지 브랜드 위주</t>
  </si>
  <si>
    <t xml:space="preserve">https://www.stec.com.ar/collections/kretz</t>
  </si>
  <si>
    <t xml:space="preserve">Córdoba</t>
  </si>
  <si>
    <t xml:space="preserve">casaschettini-shop.com</t>
  </si>
  <si>
    <t xml:space="preserve">facebook.com/casaschettinicba/</t>
  </si>
  <si>
    <t xml:space="preserve">WA 351 399 9579</t>
  </si>
  <si>
    <r>
      <rPr>
        <sz val="10"/>
        <rFont val="Arial"/>
        <family val="0"/>
        <charset val="1"/>
      </rPr>
      <t xml:space="preserve">Systel, Kretz, </t>
    </r>
    <r>
      <rPr>
        <sz val="10"/>
        <rFont val="WenQuanYi Zen Hei"/>
        <family val="2"/>
      </rPr>
      <t xml:space="preserve">라벨프린터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매장장비</t>
    </r>
  </si>
  <si>
    <t xml:space="preserve">소매업체</t>
  </si>
  <si>
    <t xml:space="preserve">https://casaschettini-shop.com/balanzas/</t>
  </si>
  <si>
    <t xml:space="preserve">micro-power.com.ar</t>
  </si>
  <si>
    <t xml:space="preserve">Berazategui</t>
  </si>
  <si>
    <r>
      <rPr>
        <sz val="10"/>
        <rFont val="Arial"/>
        <family val="0"/>
        <charset val="1"/>
      </rPr>
      <t xml:space="preserve">Systel, Moretti, Digi, Kretz </t>
    </r>
    <r>
      <rPr>
        <sz val="10"/>
        <rFont val="WenQuanYi Zen Hei"/>
        <family val="2"/>
      </rPr>
      <t xml:space="preserve">서비스</t>
    </r>
  </si>
  <si>
    <t xml:space="preserve">https://www.micro-power.com.ar/</t>
  </si>
  <si>
    <t xml:space="preserve">Villa Martelli (Prov. BA)</t>
  </si>
  <si>
    <r>
      <rPr>
        <sz val="10"/>
        <rFont val="Arial"/>
        <family val="0"/>
        <charset val="1"/>
      </rPr>
      <t xml:space="preserve">guiademantenimiento.com (</t>
    </r>
    <r>
      <rPr>
        <sz val="10"/>
        <rFont val="WenQuanYi Zen Hei"/>
        <family val="2"/>
      </rPr>
      <t xml:space="preserve">디렉토리</t>
    </r>
    <r>
      <rPr>
        <sz val="10"/>
        <rFont val="Arial"/>
        <family val="0"/>
        <charset val="1"/>
      </rPr>
      <t xml:space="preserve">)</t>
    </r>
  </si>
  <si>
    <t xml:space="preserve">Villa Martelli; (011) 4575-0000</t>
  </si>
  <si>
    <r>
      <rPr>
        <sz val="10"/>
        <rFont val="Arial"/>
        <family val="0"/>
        <charset val="1"/>
      </rPr>
      <t xml:space="preserve">Bizerba </t>
    </r>
    <r>
      <rPr>
        <sz val="10"/>
        <rFont val="WenQuanYi Zen Hei"/>
        <family val="2"/>
      </rPr>
      <t xml:space="preserve">자회사</t>
    </r>
  </si>
  <si>
    <t xml:space="preserve">경쟁사 자회사</t>
  </si>
  <si>
    <t xml:space="preserve">경쟁사</t>
  </si>
  <si>
    <t xml:space="preserve">https://www.inti.gob.ar/assets/uploads/files/metrologia-legal/empresas/reparadoras/40/040-BizerbaArg.pdf</t>
  </si>
  <si>
    <t xml:space="preserve">Canelones / Montevideo</t>
  </si>
  <si>
    <t xml:space="preserve">baudinequipamientos.com</t>
  </si>
  <si>
    <t xml:space="preserve">ventas@baudinequipamientos.com; gerencia@baudinequipamientos.com</t>
  </si>
  <si>
    <t xml:space="preserve">baudinequipamientos.com/contacto/</t>
  </si>
  <si>
    <t xml:space="preserve">WA 098 193 160</t>
  </si>
  <si>
    <r>
      <rPr>
        <sz val="10"/>
        <rFont val="Arial"/>
        <family val="0"/>
        <charset val="1"/>
      </rPr>
      <t xml:space="preserve">Dibal(LATU </t>
    </r>
    <r>
      <rPr>
        <sz val="10"/>
        <rFont val="WenQuanYi Zen Hei"/>
        <family val="2"/>
      </rPr>
      <t xml:space="preserve">승인</t>
    </r>
    <r>
      <rPr>
        <sz val="10"/>
        <rFont val="Arial"/>
        <family val="0"/>
        <charset val="1"/>
      </rPr>
      <t xml:space="preserve">), Systel, Kuma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할부 판매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</si>
  <si>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서비스</t>
    </r>
  </si>
  <si>
    <r>
      <rPr>
        <sz val="10"/>
        <rFont val="Arial"/>
        <family val="0"/>
        <charset val="1"/>
      </rPr>
      <t xml:space="preserve">LATU </t>
    </r>
    <r>
      <rPr>
        <sz val="10"/>
        <rFont val="WenQuanYi Zen Hei"/>
        <family val="2"/>
      </rPr>
      <t xml:space="preserve">승인 수입 라벨저울 판매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자체 서비스</t>
    </r>
  </si>
  <si>
    <t xml:space="preserve">https://baudinequipamientos.com/marca/dibal/</t>
  </si>
  <si>
    <t xml:space="preserve">Montevideo</t>
  </si>
  <si>
    <t xml:space="preserve">ser-tec.com.uy</t>
  </si>
  <si>
    <t xml:space="preserve">ventas@ser-tec.com.uy; info@ser-tec.com.uy</t>
  </si>
  <si>
    <t xml:space="preserve">Tel. 2402 8972</t>
  </si>
  <si>
    <t xml:space="preserve">098 649 559</t>
  </si>
  <si>
    <r>
      <rPr>
        <sz val="10"/>
        <rFont val="WenQuanYi Zen Hei"/>
        <family val="2"/>
      </rPr>
      <t xml:space="preserve">저울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금전등록기 수입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(80</t>
    </r>
    <r>
      <rPr>
        <sz val="10"/>
        <rFont val="WenQuanYi Zen Hei"/>
        <family val="2"/>
      </rPr>
      <t xml:space="preserve">년대</t>
    </r>
    <r>
      <rPr>
        <sz val="10"/>
        <rFont val="Arial"/>
        <family val="0"/>
        <charset val="1"/>
      </rPr>
      <t xml:space="preserve">~), Kretz </t>
    </r>
    <r>
      <rPr>
        <sz val="10"/>
        <rFont val="WenQuanYi Zen Hei"/>
        <family val="2"/>
      </rPr>
      <t xml:space="preserve">대리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전자세금계산서</t>
    </r>
  </si>
  <si>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고객 </t>
    </r>
    <r>
      <rPr>
        <sz val="10"/>
        <rFont val="Arial"/>
        <family val="0"/>
        <charset val="1"/>
      </rPr>
      <t xml:space="preserve">+ LATU </t>
    </r>
    <r>
      <rPr>
        <sz val="10"/>
        <rFont val="WenQuanYi Zen Hei"/>
        <family val="2"/>
      </rPr>
      <t xml:space="preserve">경험</t>
    </r>
  </si>
  <si>
    <t xml:space="preserve">https://www.ser-tec.com.uy/</t>
  </si>
  <si>
    <t xml:space="preserve">balanzaslarynco.com.uy</t>
  </si>
  <si>
    <t xml:space="preserve">2508 8189</t>
  </si>
  <si>
    <r>
      <rPr>
        <sz val="10"/>
        <rFont val="Arial"/>
        <family val="0"/>
        <charset val="1"/>
      </rPr>
      <t xml:space="preserve">Systel, Sipel, Flintec, </t>
    </r>
    <r>
      <rPr>
        <sz val="10"/>
        <rFont val="WenQuanYi Zen Hei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</si>
  <si>
    <r>
      <rPr>
        <sz val="10"/>
        <rFont val="WenQuanYi Zen Hei"/>
        <family val="2"/>
      </rPr>
      <t xml:space="preserve">서비스 중심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신규 브랜드 가능</t>
    </r>
  </si>
  <si>
    <t xml:space="preserve">https://www.balanzaslarynco.com.uy/</t>
  </si>
  <si>
    <t xml:space="preserve">ferreservi.com.uy</t>
  </si>
  <si>
    <t xml:space="preserve">ferreservi.com.uy/contacto</t>
  </si>
  <si>
    <t xml:space="preserve">091 981 025</t>
  </si>
  <si>
    <r>
      <rPr>
        <sz val="10"/>
        <rFont val="WenQuanYi Zen Hei"/>
        <family val="2"/>
      </rPr>
      <t xml:space="preserve">업소장비</t>
    </r>
    <r>
      <rPr>
        <sz val="10"/>
        <rFont val="Arial"/>
        <family val="0"/>
        <charset val="1"/>
      </rPr>
      <t xml:space="preserve">, Systel </t>
    </r>
    <r>
      <rPr>
        <sz val="10"/>
        <rFont val="WenQuanYi Zen Hei"/>
        <family val="2"/>
      </rPr>
      <t xml:space="preserve">셀프 티켓저울</t>
    </r>
  </si>
  <si>
    <r>
      <rPr>
        <sz val="10"/>
        <rFont val="WenQuanYi Zen Hei"/>
        <family val="2"/>
      </rPr>
      <t xml:space="preserve">소매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딜러</t>
    </r>
  </si>
  <si>
    <t xml:space="preserve">장비 소매</t>
  </si>
  <si>
    <t xml:space="preserve">https://www.ferreservi.com.uy/</t>
  </si>
  <si>
    <t xml:space="preserve">alton.com.uy/contacto/</t>
  </si>
  <si>
    <t xml:space="preserve">+598 2201 1770</t>
  </si>
  <si>
    <r>
      <rPr>
        <sz val="10"/>
        <rFont val="Arial"/>
        <family val="0"/>
        <charset val="1"/>
      </rPr>
      <t xml:space="preserve">Mettler Toledo (</t>
    </r>
    <r>
      <rPr>
        <sz val="10"/>
        <rFont val="WenQuanYi Zen Hei"/>
        <family val="2"/>
      </rPr>
      <t xml:space="preserve">실험실</t>
    </r>
    <r>
      <rPr>
        <sz val="10"/>
        <rFont val="Arial"/>
        <family val="0"/>
        <charset val="1"/>
      </rPr>
      <t xml:space="preserve">)</t>
    </r>
  </si>
  <si>
    <t xml:space="preserve">실험실 중심</t>
  </si>
  <si>
    <t xml:space="preserve">https://www.mt.com/uy/es/home.html</t>
  </si>
  <si>
    <t xml:space="preserve">Asunción</t>
  </si>
  <si>
    <t xml:space="preserve">balpar.com.py</t>
  </si>
  <si>
    <t xml:space="preserve">(021) 511475 (2014)</t>
  </si>
  <si>
    <r>
      <rPr>
        <sz val="10"/>
        <rFont val="Arial"/>
        <family val="0"/>
        <charset val="1"/>
      </rPr>
      <t xml:space="preserve">Kretz, DINA </t>
    </r>
    <r>
      <rPr>
        <sz val="10"/>
        <rFont val="WenQuanYi Zen Hei"/>
        <family val="2"/>
      </rPr>
      <t xml:space="preserve">셀프 라벨저울</t>
    </r>
    <r>
      <rPr>
        <sz val="10"/>
        <rFont val="Arial"/>
        <family val="0"/>
        <charset val="1"/>
      </rPr>
      <t xml:space="preserve">, Dibal·Sipel </t>
    </r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트럭저울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직원 </t>
    </r>
    <r>
      <rPr>
        <sz val="10"/>
        <rFont val="Arial"/>
        <family val="0"/>
        <charset val="1"/>
      </rPr>
      <t xml:space="preserve">~100</t>
    </r>
    <r>
      <rPr>
        <sz val="10"/>
        <rFont val="WenQuanYi Zen Hei"/>
        <family val="2"/>
      </rPr>
      <t xml:space="preserve">명</t>
    </r>
  </si>
  <si>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유통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서비스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제조</t>
    </r>
  </si>
  <si>
    <r>
      <rPr>
        <sz val="10"/>
        <rFont val="WenQuanYi Zen Hei"/>
        <family val="2"/>
      </rPr>
      <t xml:space="preserve">파라과이 최대 계량 수입사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슈퍼에 라벨저울 판매</t>
    </r>
  </si>
  <si>
    <t xml:space="preserve">https://www.balpar.com.py/catalogo/uso/7/balanzas-comerciales</t>
  </si>
  <si>
    <t xml:space="preserve">hpti.com.py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</si>
  <si>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구 입찰자료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</si>
  <si>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IT/POS, Digiware </t>
    </r>
    <r>
      <rPr>
        <sz val="10"/>
        <rFont val="WenQuanYi Zen Hei"/>
        <family val="2"/>
      </rPr>
      <t xml:space="preserve">라벨저울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한국 수입 경험</t>
    </r>
    <r>
      <rPr>
        <sz val="10"/>
        <rFont val="Arial"/>
        <family val="0"/>
        <charset val="1"/>
      </rPr>
      <t xml:space="preserve">(NComputing)</t>
    </r>
  </si>
  <si>
    <r>
      <rPr>
        <sz val="10"/>
        <rFont val="Arial"/>
        <family val="0"/>
        <charset val="1"/>
      </rPr>
      <t xml:space="preserve">IT/POS </t>
    </r>
    <r>
      <rPr>
        <sz val="10"/>
        <rFont val="WenQuanYi Zen Hei"/>
        <family val="2"/>
      </rPr>
      <t xml:space="preserve">수입</t>
    </r>
  </si>
  <si>
    <r>
      <rPr>
        <sz val="10"/>
        <rFont val="WenQuanYi Zen Hei"/>
        <family val="2"/>
      </rPr>
      <t xml:space="preserve">수입 라벨저울 판매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한국 공급사 거래 경험</t>
    </r>
  </si>
  <si>
    <t xml:space="preserve">https://www.hpti.com.py/5-balanzas-electronicas-para-negocios-pequenos/</t>
  </si>
  <si>
    <t xml:space="preserve">Paraguay</t>
  </si>
  <si>
    <t xml:space="preserve">ofimarket.com.py</t>
  </si>
  <si>
    <t xml:space="preserve">ventas@ofimarket.com.py; info@ofimarket.com.py</t>
  </si>
  <si>
    <t xml:space="preserve">ofimarket.com.py/contacto/</t>
  </si>
  <si>
    <t xml:space="preserve">021 327 9369</t>
  </si>
  <si>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단말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라벨프린터</t>
    </r>
  </si>
  <si>
    <r>
      <rPr>
        <sz val="10"/>
        <rFont val="Arial"/>
        <family val="0"/>
        <charset val="1"/>
      </rPr>
      <t xml:space="preserve">POS </t>
    </r>
    <r>
      <rPr>
        <sz val="10"/>
        <rFont val="WenQuanYi Zen Hei"/>
        <family val="2"/>
      </rPr>
      <t xml:space="preserve">소매</t>
    </r>
  </si>
  <si>
    <t xml:space="preserve">저울 미취급</t>
  </si>
  <si>
    <t xml:space="preserve">https://ofimarket.com.py/</t>
  </si>
  <si>
    <t xml:space="preserve">contrataciones.gov.py</t>
  </si>
  <si>
    <t xml:space="preserve">+595 971 369 933</t>
  </si>
  <si>
    <t xml:space="preserve">https://www.mt.com/py/es/home.html</t>
  </si>
  <si>
    <r>
      <rPr>
        <b val="true"/>
        <sz val="10"/>
        <color rgb="FFFFFFFF"/>
        <rFont val="WenQuanYi Zen Hei"/>
        <family val="2"/>
      </rPr>
      <t xml:space="preserve">인증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규제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법정계량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</si>
  <si>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주요 경쟁 브랜드</t>
  </si>
  <si>
    <r>
      <rPr>
        <b val="true"/>
        <sz val="10"/>
        <color rgb="FFFFFFFF"/>
        <rFont val="WenQuanYi Zen Hei"/>
        <family val="2"/>
      </rPr>
      <t xml:space="preserve">비고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불확실성</t>
    </r>
  </si>
  <si>
    <r>
      <rPr>
        <sz val="10"/>
        <rFont val="Arial"/>
        <family val="0"/>
        <charset val="1"/>
      </rPr>
      <t xml:space="preserve">NOM-010-SCFI-1994 + DGN </t>
    </r>
    <r>
      <rPr>
        <sz val="10"/>
        <rFont val="WenQuanYi Zen Hei"/>
        <family val="2"/>
      </rPr>
      <t xml:space="preserve">모델승인 등록</t>
    </r>
    <r>
      <rPr>
        <sz val="10"/>
        <rFont val="Arial"/>
        <family val="0"/>
        <charset val="1"/>
      </rPr>
      <t xml:space="preserve">, PROFECO </t>
    </r>
    <r>
      <rPr>
        <sz val="10"/>
        <rFont val="WenQuanYi Zen Hei"/>
        <family val="2"/>
      </rPr>
      <t xml:space="preserve">초기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정기 검정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홀로그램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</si>
  <si>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Torrey(</t>
    </r>
    <r>
      <rPr>
        <sz val="10"/>
        <rFont val="WenQuanYi Zen Hei"/>
        <family val="2"/>
      </rPr>
      <t xml:space="preserve">현지</t>
    </r>
    <r>
      <rPr>
        <sz val="10"/>
        <rFont val="Arial"/>
        <family val="0"/>
        <charset val="1"/>
      </rPr>
      <t xml:space="preserve">), Rhino, DIGI(Mexba), CAS(</t>
    </r>
    <r>
      <rPr>
        <sz val="10"/>
        <rFont val="WenQuanYi Zen Hei"/>
        <family val="2"/>
      </rPr>
      <t xml:space="preserve">바하 지역 </t>
    </r>
    <r>
      <rPr>
        <sz val="10"/>
        <rFont val="Arial"/>
        <family val="0"/>
        <charset val="1"/>
      </rPr>
      <t xml:space="preserve">POS</t>
    </r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), Bizerba/Dibal/Mettler(</t>
    </r>
    <r>
      <rPr>
        <sz val="10"/>
        <rFont val="WenQuanYi Zen Hei"/>
        <family val="2"/>
      </rPr>
      <t xml:space="preserve">체인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</si>
  <si>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NOM-EM-020-SE-2020 </t>
    </r>
    <r>
      <rPr>
        <sz val="10"/>
        <rFont val="WenQuanYi Zen Hei"/>
        <family val="2"/>
      </rPr>
      <t xml:space="preserve">적용 여부 미확인</t>
    </r>
  </si>
  <si>
    <r>
      <rPr>
        <sz val="10"/>
        <rFont val="Arial"/>
        <family val="0"/>
        <charset val="1"/>
      </rPr>
      <t xml:space="preserve">DIACO·CENAME </t>
    </r>
    <r>
      <rPr>
        <sz val="10"/>
        <rFont val="WenQuanYi Zen Hei"/>
        <family val="2"/>
      </rPr>
      <t xml:space="preserve">점검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소매저울 형식승인 규정 미확인 → </t>
    </r>
    <r>
      <rPr>
        <sz val="10"/>
        <rFont val="Arial"/>
        <family val="0"/>
        <charset val="1"/>
      </rPr>
      <t xml:space="preserve">OIML R76 + </t>
    </r>
    <r>
      <rPr>
        <sz val="10"/>
        <rFont val="WenQuanYi Zen Hei"/>
        <family val="2"/>
      </rPr>
      <t xml:space="preserve">현지 교정이 실무 요건으로 추정</t>
    </r>
  </si>
  <si>
    <r>
      <rPr>
        <sz val="10"/>
        <rFont val="Arial"/>
        <family val="0"/>
        <charset val="1"/>
      </rPr>
      <t xml:space="preserve">CAS(</t>
    </r>
    <r>
      <rPr>
        <sz val="10"/>
        <rFont val="WenQuanYi Zen Hei"/>
        <family val="2"/>
      </rPr>
      <t xml:space="preserve">엘살바도르 독점사 경유</t>
    </r>
    <r>
      <rPr>
        <sz val="10"/>
        <rFont val="Arial"/>
        <family val="0"/>
        <charset val="1"/>
      </rPr>
      <t xml:space="preserve">), Torrey</t>
    </r>
  </si>
  <si>
    <t xml:space="preserve">불확실</t>
  </si>
  <si>
    <r>
      <rPr>
        <sz val="10"/>
        <rFont val="WenQuanYi Zen Hei"/>
        <family val="2"/>
      </rPr>
      <t xml:space="preserve">소비자보호청 점검 시 연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공인업체 교정증명서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스티커 필요</t>
    </r>
  </si>
  <si>
    <r>
      <rPr>
        <sz val="10"/>
        <rFont val="Arial"/>
        <family val="0"/>
        <charset val="1"/>
      </rPr>
      <t xml:space="preserve">CAS(</t>
    </r>
    <r>
      <rPr>
        <sz val="10"/>
        <rFont val="WenQuanYi Zen Hei"/>
        <family val="2"/>
      </rPr>
      <t xml:space="preserve">중미 북부 독점</t>
    </r>
    <r>
      <rPr>
        <sz val="10"/>
        <rFont val="Arial"/>
        <family val="0"/>
        <charset val="1"/>
      </rPr>
      <t xml:space="preserve">), Rhino/Vinson/Torrey</t>
    </r>
  </si>
  <si>
    <r>
      <rPr>
        <sz val="10"/>
        <rFont val="Arial"/>
        <family val="0"/>
        <charset val="1"/>
      </rPr>
      <t xml:space="preserve">SDE </t>
    </r>
    <r>
      <rPr>
        <sz val="10"/>
        <rFont val="WenQuanYi Zen Hei"/>
        <family val="2"/>
      </rPr>
      <t xml:space="preserve">소비자보호국</t>
    </r>
    <r>
      <rPr>
        <sz val="10"/>
        <rFont val="Arial"/>
        <family val="0"/>
        <charset val="1"/>
      </rPr>
      <t xml:space="preserve">(Decree 24-2008) </t>
    </r>
    <r>
      <rPr>
        <sz val="10"/>
        <rFont val="WenQuanYi Zen Hei"/>
        <family val="2"/>
      </rPr>
      <t xml:space="preserve">정확도 점검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형식승인 제도 미확인</t>
    </r>
  </si>
  <si>
    <r>
      <rPr>
        <sz val="10"/>
        <rFont val="Arial"/>
        <family val="0"/>
        <charset val="1"/>
      </rPr>
      <t xml:space="preserve">Torrey, CAS, Rice Lake(</t>
    </r>
    <r>
      <rPr>
        <sz val="10"/>
        <rFont val="WenQuanYi Zen Hei"/>
        <family val="2"/>
      </rPr>
      <t xml:space="preserve">산업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</si>
  <si>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2019</t>
    </r>
    <r>
      <rPr>
        <sz val="10"/>
        <rFont val="WenQuanYi Zen Hei"/>
        <family val="2"/>
      </rPr>
      <t xml:space="preserve">년 자료</t>
    </r>
  </si>
  <si>
    <r>
      <rPr>
        <sz val="10"/>
        <rFont val="WenQuanYi Zen Hei"/>
        <family val="2"/>
      </rPr>
      <t xml:space="preserve">규정 미조사 – 현지 수입사</t>
    </r>
    <r>
      <rPr>
        <sz val="10"/>
        <rFont val="Arial"/>
        <family val="0"/>
        <charset val="1"/>
      </rPr>
      <t xml:space="preserve">·MIFIC </t>
    </r>
    <r>
      <rPr>
        <sz val="10"/>
        <rFont val="WenQuanYi Zen Hei"/>
        <family val="2"/>
      </rPr>
      <t xml:space="preserve">확인 필요</t>
    </r>
  </si>
  <si>
    <t xml:space="preserve">CAS, Kretz, Ishida, Rice Lake</t>
  </si>
  <si>
    <r>
      <rPr>
        <sz val="10"/>
        <rFont val="Arial"/>
        <family val="0"/>
        <charset val="1"/>
      </rPr>
      <t xml:space="preserve">LACOMET(MEIC) </t>
    </r>
    <r>
      <rPr>
        <sz val="10"/>
        <rFont val="WenQuanYi Zen Hei"/>
        <family val="2"/>
      </rPr>
      <t xml:space="preserve">법정계량 점검</t>
    </r>
    <r>
      <rPr>
        <sz val="10"/>
        <rFont val="Arial"/>
        <family val="0"/>
        <charset val="1"/>
      </rPr>
      <t xml:space="preserve">, RTCR </t>
    </r>
    <r>
      <rPr>
        <sz val="10"/>
        <rFont val="WenQuanYi Zen Hei"/>
        <family val="2"/>
      </rPr>
      <t xml:space="preserve">존재 여부 미확인</t>
    </r>
  </si>
  <si>
    <r>
      <rPr>
        <sz val="10"/>
        <rFont val="Arial"/>
        <family val="0"/>
        <charset val="1"/>
      </rPr>
      <t xml:space="preserve">Dibal </t>
    </r>
    <r>
      <rPr>
        <sz val="10"/>
        <rFont val="WenQuanYi Zen Hei"/>
        <family val="2"/>
      </rPr>
      <t xml:space="preserve">압도적</t>
    </r>
    <r>
      <rPr>
        <sz val="10"/>
        <rFont val="Arial"/>
        <family val="0"/>
        <charset val="1"/>
      </rPr>
      <t xml:space="preserve">, CAS(Reproma)</t>
    </r>
  </si>
  <si>
    <r>
      <rPr>
        <sz val="10"/>
        <rFont val="Arial"/>
        <family val="0"/>
        <charset val="1"/>
      </rPr>
      <t xml:space="preserve">ACODECO </t>
    </r>
    <r>
      <rPr>
        <sz val="10"/>
        <rFont val="WenQuanYi Zen Hei"/>
        <family val="2"/>
      </rPr>
      <t xml:space="preserve">점검</t>
    </r>
    <r>
      <rPr>
        <sz val="10"/>
        <rFont val="Arial"/>
        <family val="0"/>
        <charset val="1"/>
      </rPr>
      <t xml:space="preserve">, DGNTI-COPANIT 37-2002 (</t>
    </r>
    <r>
      <rPr>
        <sz val="10"/>
        <rFont val="WenQuanYi Zen Hei"/>
        <family val="2"/>
      </rPr>
      <t xml:space="preserve">현행 여부 확인</t>
    </r>
    <r>
      <rPr>
        <sz val="10"/>
        <rFont val="Arial"/>
        <family val="0"/>
        <charset val="1"/>
      </rPr>
      <t xml:space="preserve">), POS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DGI </t>
    </r>
    <r>
      <rPr>
        <sz val="10"/>
        <rFont val="WenQuanYi Zen Hei"/>
        <family val="2"/>
      </rPr>
      <t xml:space="preserve">전자세금계산서 필요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</si>
  <si>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직영 사무소</t>
    </r>
    <r>
      <rPr>
        <sz val="10"/>
        <rFont val="Arial"/>
        <family val="0"/>
        <charset val="1"/>
      </rPr>
      <t xml:space="preserve">, Aclas·Kretz(POS</t>
    </r>
    <r>
      <rPr>
        <sz val="10"/>
        <rFont val="WenQuanYi Zen Hei"/>
        <family val="2"/>
      </rPr>
      <t xml:space="preserve">딜러</t>
    </r>
    <r>
      <rPr>
        <sz val="10"/>
        <rFont val="Arial"/>
        <family val="0"/>
        <charset val="1"/>
      </rPr>
      <t xml:space="preserve">), Datalogic</t>
    </r>
  </si>
  <si>
    <r>
      <rPr>
        <sz val="10"/>
        <rFont val="Arial"/>
        <family val="0"/>
        <charset val="1"/>
      </rPr>
      <t xml:space="preserve">SIC </t>
    </r>
    <r>
      <rPr>
        <sz val="10"/>
        <rFont val="WenQuanYi Zen Hei"/>
        <family val="2"/>
      </rPr>
      <t xml:space="preserve">비자동저울 기술규정</t>
    </r>
    <r>
      <rPr>
        <sz val="10"/>
        <rFont val="Arial"/>
        <family val="0"/>
        <charset val="1"/>
      </rPr>
      <t xml:space="preserve">(Res. 33187/2023) – OIML </t>
    </r>
    <r>
      <rPr>
        <sz val="10"/>
        <rFont val="WenQuanYi Zen Hei"/>
        <family val="2"/>
      </rPr>
      <t xml:space="preserve">형식시험 인증서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적합성 선언 </t>
    </r>
    <r>
      <rPr>
        <sz val="10"/>
        <rFont val="Arial"/>
        <family val="0"/>
        <charset val="1"/>
      </rPr>
      <t xml:space="preserve">+ SIMEL </t>
    </r>
    <r>
      <rPr>
        <sz val="10"/>
        <rFont val="WenQuanYi Zen Hei"/>
        <family val="2"/>
      </rPr>
      <t xml:space="preserve">등록 필수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</si>
  <si>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매우 강함</t>
    </r>
    <r>
      <rPr>
        <sz val="10"/>
        <rFont val="Arial"/>
        <family val="0"/>
        <charset val="1"/>
      </rPr>
      <t xml:space="preserve">, Dibal 2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, DIGI·Mettler(</t>
    </r>
    <r>
      <rPr>
        <sz val="10"/>
        <rFont val="WenQuanYi Zen Hei"/>
        <family val="2"/>
      </rPr>
      <t xml:space="preserve">대형체인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</si>
  <si>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년 개정안 공포 여부 미확인</t>
    </r>
  </si>
  <si>
    <r>
      <rPr>
        <sz val="10"/>
        <rFont val="Arial"/>
        <family val="0"/>
        <charset val="1"/>
      </rPr>
      <t xml:space="preserve">INEN </t>
    </r>
    <r>
      <rPr>
        <sz val="10"/>
        <rFont val="WenQuanYi Zen Hei"/>
        <family val="2"/>
      </rPr>
      <t xml:space="preserve">기술규정</t>
    </r>
    <r>
      <rPr>
        <sz val="10"/>
        <rFont val="Arial"/>
        <family val="0"/>
        <charset val="1"/>
      </rPr>
      <t xml:space="preserve">/INEN-1 </t>
    </r>
    <r>
      <rPr>
        <sz val="10"/>
        <rFont val="WenQuanYi Zen Hei"/>
        <family val="2"/>
      </rPr>
      <t xml:space="preserve">인증</t>
    </r>
    <r>
      <rPr>
        <sz val="10"/>
        <rFont val="Arial"/>
        <family val="0"/>
        <charset val="1"/>
      </rPr>
      <t xml:space="preserve">(VUE/Ecuapass) – </t>
    </r>
    <r>
      <rPr>
        <sz val="10"/>
        <rFont val="WenQuanYi Zen Hei"/>
        <family val="2"/>
      </rPr>
      <t xml:space="preserve">저울 해당 </t>
    </r>
    <r>
      <rPr>
        <sz val="10"/>
        <rFont val="Arial"/>
        <family val="0"/>
        <charset val="1"/>
      </rPr>
      <t xml:space="preserve">RTE </t>
    </r>
    <r>
      <rPr>
        <sz val="10"/>
        <rFont val="WenQuanYi Zen Hei"/>
        <family val="2"/>
      </rPr>
      <t xml:space="preserve">번호 확인 필요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달러 경제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환리스크 낮음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</si>
  <si>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지배적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위조품 유통</t>
    </r>
    <r>
      <rPr>
        <sz val="10"/>
        <rFont val="Arial"/>
        <family val="0"/>
        <charset val="1"/>
      </rPr>
      <t xml:space="preserve">), DIGI, Mettler</t>
    </r>
  </si>
  <si>
    <r>
      <rPr>
        <sz val="10"/>
        <rFont val="Arial"/>
        <family val="0"/>
        <charset val="1"/>
      </rPr>
      <t xml:space="preserve">INDOCAL </t>
    </r>
    <r>
      <rPr>
        <sz val="10"/>
        <rFont val="WenQuanYi Zen Hei"/>
        <family val="2"/>
      </rPr>
      <t xml:space="preserve">법정계량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콜마도 연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점검</t>
    </r>
    <r>
      <rPr>
        <sz val="10"/>
        <rFont val="Arial"/>
        <family val="0"/>
        <charset val="1"/>
      </rPr>
      <t xml:space="preserve">), Pro Consumidor </t>
    </r>
    <r>
      <rPr>
        <sz val="10"/>
        <rFont val="WenQuanYi Zen Hei"/>
        <family val="2"/>
      </rPr>
      <t xml:space="preserve">합동점검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모델승인 인증 존재 추정 – 확인</t>
    </r>
  </si>
  <si>
    <t xml:space="preserve">CAS(Balanzas Industriales), Mettler</t>
  </si>
  <si>
    <r>
      <rPr>
        <sz val="10"/>
        <rFont val="WenQuanYi Zen Hei"/>
        <family val="2"/>
      </rPr>
      <t xml:space="preserve">주요 체인</t>
    </r>
    <r>
      <rPr>
        <sz val="10"/>
        <rFont val="Arial"/>
        <family val="0"/>
        <charset val="1"/>
      </rPr>
      <t xml:space="preserve">: Sirena, Nacional, Jumbo, Bravo</t>
    </r>
  </si>
  <si>
    <r>
      <rPr>
        <sz val="10"/>
        <rFont val="Arial"/>
        <family val="0"/>
        <charset val="1"/>
      </rPr>
      <t xml:space="preserve">SENCAMER </t>
    </r>
    <r>
      <rPr>
        <sz val="10"/>
        <rFont val="WenQuanYi Zen Hei"/>
        <family val="2"/>
      </rPr>
      <t xml:space="preserve">현지 인증 필요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외국 인증 불인정 보고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외환통제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제재 심사 – 선금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확인 </t>
    </r>
    <r>
      <rPr>
        <sz val="10"/>
        <rFont val="Arial"/>
        <family val="0"/>
        <charset val="1"/>
      </rPr>
      <t xml:space="preserve">L/C </t>
    </r>
    <r>
      <rPr>
        <sz val="10"/>
        <rFont val="WenQuanYi Zen Hei"/>
        <family val="2"/>
      </rPr>
      <t xml:space="preserve">권장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</si>
  <si>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독점대리</t>
    </r>
    <r>
      <rPr>
        <sz val="10"/>
        <rFont val="Arial"/>
        <family val="0"/>
        <charset val="1"/>
      </rPr>
      <t xml:space="preserve">, Xacta(</t>
    </r>
    <r>
      <rPr>
        <sz val="10"/>
        <rFont val="WenQuanYi Zen Hei"/>
        <family val="2"/>
      </rPr>
      <t xml:space="preserve">현지제조</t>
    </r>
    <r>
      <rPr>
        <sz val="10"/>
        <rFont val="Arial"/>
        <family val="0"/>
        <charset val="1"/>
      </rPr>
      <t xml:space="preserve">)</t>
    </r>
  </si>
  <si>
    <t xml:space="preserve">결제 리스크 높음</t>
  </si>
  <si>
    <r>
      <rPr>
        <sz val="10"/>
        <rFont val="WenQuanYi Zen Hei"/>
        <family val="2"/>
      </rPr>
      <t xml:space="preserve">미국 영토 – </t>
    </r>
    <r>
      <rPr>
        <sz val="10"/>
        <rFont val="Arial"/>
        <family val="0"/>
        <charset val="1"/>
      </rPr>
      <t xml:space="preserve">NTEP </t>
    </r>
    <r>
      <rPr>
        <sz val="10"/>
        <rFont val="WenQuanYi Zen Hei"/>
        <family val="2"/>
      </rPr>
      <t xml:space="preserve">인증</t>
    </r>
    <r>
      <rPr>
        <sz val="10"/>
        <rFont val="Arial"/>
        <family val="0"/>
        <charset val="1"/>
      </rPr>
      <t xml:space="preserve">(NIST HB44) </t>
    </r>
    <r>
      <rPr>
        <sz val="10"/>
        <rFont val="WenQuanYi Zen Hei"/>
        <family val="2"/>
      </rPr>
      <t xml:space="preserve">필수</t>
    </r>
    <r>
      <rPr>
        <sz val="10"/>
        <rFont val="Arial"/>
        <family val="0"/>
        <charset val="1"/>
      </rPr>
      <t xml:space="preserve">, DACO </t>
    </r>
    <r>
      <rPr>
        <sz val="10"/>
        <rFont val="WenQuanYi Zen Hei"/>
        <family val="2"/>
      </rPr>
      <t xml:space="preserve">검사</t>
    </r>
    <r>
      <rPr>
        <sz val="10"/>
        <rFont val="Arial"/>
        <family val="0"/>
        <charset val="1"/>
      </rPr>
      <t xml:space="preserve">, FCC·UL/ETL </t>
    </r>
    <r>
      <rPr>
        <sz val="10"/>
        <rFont val="WenQuanYi Zen Hei"/>
        <family val="2"/>
      </rPr>
      <t xml:space="preserve">필요</t>
    </r>
  </si>
  <si>
    <r>
      <rPr>
        <sz val="10"/>
        <rFont val="Arial"/>
        <family val="0"/>
        <charset val="1"/>
      </rPr>
      <t xml:space="preserve">CAS </t>
    </r>
    <r>
      <rPr>
        <sz val="10"/>
        <rFont val="WenQuanYi Zen Hei"/>
        <family val="2"/>
      </rPr>
      <t xml:space="preserve">독점</t>
    </r>
    <r>
      <rPr>
        <sz val="10"/>
        <rFont val="Arial"/>
        <family val="0"/>
        <charset val="1"/>
      </rPr>
      <t xml:space="preserve">(SBM), Hobart, Mettler, Bizerba, DIGI</t>
    </r>
  </si>
  <si>
    <r>
      <rPr>
        <sz val="10"/>
        <rFont val="Arial"/>
        <family val="0"/>
        <charset val="1"/>
      </rPr>
      <t xml:space="preserve">NTEP </t>
    </r>
    <r>
      <rPr>
        <sz val="10"/>
        <rFont val="WenQuanYi Zen Hei"/>
        <family val="2"/>
      </rPr>
      <t xml:space="preserve">없으면 판매 불가</t>
    </r>
  </si>
  <si>
    <t xml:space="preserve">쿠바</t>
  </si>
  <si>
    <r>
      <rPr>
        <sz val="10"/>
        <rFont val="WenQuanYi Zen Hei"/>
        <family val="2"/>
      </rPr>
      <t xml:space="preserve">국영기업</t>
    </r>
    <r>
      <rPr>
        <sz val="10"/>
        <rFont val="Arial"/>
        <family val="0"/>
        <charset val="1"/>
      </rPr>
      <t xml:space="preserve">/Mipymes </t>
    </r>
    <r>
      <rPr>
        <sz val="10"/>
        <rFont val="WenQuanYi Zen Hei"/>
        <family val="2"/>
      </rPr>
      <t xml:space="preserve">경유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장기 외상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미수 위험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미국 금수조치로 </t>
    </r>
    <r>
      <rPr>
        <sz val="10"/>
        <rFont val="Arial"/>
        <family val="0"/>
        <charset val="1"/>
      </rPr>
      <t xml:space="preserve">USD </t>
    </r>
    <r>
      <rPr>
        <sz val="10"/>
        <rFont val="WenQuanYi Zen Hei"/>
        <family val="2"/>
      </rPr>
      <t xml:space="preserve">결제 곤란</t>
    </r>
  </si>
  <si>
    <t xml:space="preserve">-</t>
  </si>
  <si>
    <r>
      <rPr>
        <sz val="10"/>
        <rFont val="WenQuanYi Zen Hei"/>
        <family val="2"/>
      </rPr>
      <t xml:space="preserve">파나마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스페인 무역상 경유만 현실적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리드 미조사</t>
    </r>
  </si>
  <si>
    <r>
      <rPr>
        <sz val="10"/>
        <rFont val="Arial"/>
        <family val="0"/>
        <charset val="1"/>
      </rPr>
      <t xml:space="preserve">INACAL R.D. 006-2018: 100kg </t>
    </r>
    <r>
      <rPr>
        <sz val="10"/>
        <rFont val="WenQuanYi Zen Hei"/>
        <family val="2"/>
      </rPr>
      <t xml:space="preserve">이하 상거래 저울 모델승인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초기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정기 검정</t>
    </r>
    <r>
      <rPr>
        <sz val="10"/>
        <rFont val="Arial"/>
        <family val="0"/>
        <charset val="1"/>
      </rPr>
      <t xml:space="preserve">(NMP 003:2009=OIML R76). </t>
    </r>
    <r>
      <rPr>
        <sz val="10"/>
        <rFont val="WenQuanYi Zen Hei"/>
        <family val="2"/>
      </rPr>
      <t xml:space="preserve">외국 승인서 인정 가능 → </t>
    </r>
    <r>
      <rPr>
        <sz val="10"/>
        <rFont val="Arial"/>
        <family val="0"/>
        <charset val="1"/>
      </rPr>
      <t xml:space="preserve">OIML R76 </t>
    </r>
    <r>
      <rPr>
        <sz val="10"/>
        <rFont val="WenQuanYi Zen Hei"/>
        <family val="2"/>
      </rPr>
      <t xml:space="preserve">인증서 매우 유리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한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페루 </t>
    </r>
    <r>
      <rPr>
        <sz val="10"/>
        <rFont val="Arial"/>
        <family val="0"/>
        <charset val="1"/>
      </rPr>
      <t xml:space="preserve">FTA(2011)</t>
    </r>
  </si>
  <si>
    <t xml:space="preserve">CAS(Gufra, Miyake), DIGI/Teraoka, Mettler</t>
  </si>
  <si>
    <r>
      <rPr>
        <sz val="10"/>
        <rFont val="Arial"/>
        <family val="0"/>
        <charset val="1"/>
      </rPr>
      <t xml:space="preserve">HS 8423.81 </t>
    </r>
    <r>
      <rPr>
        <sz val="10"/>
        <rFont val="WenQuanYi Zen Hei"/>
        <family val="2"/>
      </rPr>
      <t xml:space="preserve">무관세 여부 확인 필요</t>
    </r>
  </si>
  <si>
    <r>
      <rPr>
        <sz val="10"/>
        <rFont val="WenQuanYi Zen Hei"/>
        <family val="2"/>
      </rPr>
      <t xml:space="preserve">상거래 저울 의무 형식승인 불명확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어댑터 </t>
    </r>
    <r>
      <rPr>
        <sz val="10"/>
        <rFont val="Arial"/>
        <family val="0"/>
        <charset val="1"/>
      </rPr>
      <t xml:space="preserve">SEC </t>
    </r>
    <r>
      <rPr>
        <sz val="10"/>
        <rFont val="WenQuanYi Zen Hei"/>
        <family val="2"/>
      </rPr>
      <t xml:space="preserve">전기안전 인증 가능성 – </t>
    </r>
    <r>
      <rPr>
        <sz val="10"/>
        <rFont val="Arial"/>
        <family val="0"/>
        <charset val="1"/>
      </rPr>
      <t xml:space="preserve">INN/SEC 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한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칠레 </t>
    </r>
    <r>
      <rPr>
        <sz val="10"/>
        <rFont val="Arial"/>
        <family val="0"/>
        <charset val="1"/>
      </rPr>
      <t xml:space="preserve">FTA(2004) </t>
    </r>
    <r>
      <rPr>
        <sz val="10"/>
        <rFont val="WenQuanYi Zen Hei"/>
        <family val="2"/>
      </rPr>
      <t xml:space="preserve">대부분 무관세</t>
    </r>
  </si>
  <si>
    <r>
      <rPr>
        <sz val="10"/>
        <rFont val="Arial"/>
        <family val="0"/>
        <charset val="1"/>
      </rPr>
      <t xml:space="preserve">Dibal, DIGI, Mettler, Systel – CAS </t>
    </r>
    <r>
      <rPr>
        <sz val="10"/>
        <rFont val="WenQuanYi Zen Hei"/>
        <family val="2"/>
      </rPr>
      <t xml:space="preserve">채널 미확인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한국 브랜드 기회</t>
    </r>
  </si>
  <si>
    <r>
      <rPr>
        <sz val="10"/>
        <rFont val="Arial"/>
        <family val="0"/>
        <charset val="1"/>
      </rPr>
      <t xml:space="preserve">DS 5103(2024) + RM 044/2024: </t>
    </r>
    <r>
      <rPr>
        <sz val="10"/>
        <rFont val="WenQuanYi Zen Hei"/>
        <family val="2"/>
      </rPr>
      <t xml:space="preserve">통관 시 </t>
    </r>
    <r>
      <rPr>
        <sz val="10"/>
        <rFont val="Arial"/>
        <family val="0"/>
        <charset val="1"/>
      </rPr>
      <t xml:space="preserve">IBMETRO </t>
    </r>
    <r>
      <rPr>
        <sz val="10"/>
        <rFont val="WenQuanYi Zen Hei"/>
        <family val="2"/>
      </rPr>
      <t xml:space="preserve">증명서</t>
    </r>
    <r>
      <rPr>
        <sz val="10"/>
        <rFont val="Arial"/>
        <family val="0"/>
        <charset val="1"/>
      </rPr>
      <t xml:space="preserve">(CRTM </t>
    </r>
    <r>
      <rPr>
        <sz val="10"/>
        <rFont val="WenQuanYi Zen Hei"/>
        <family val="2"/>
      </rPr>
      <t xml:space="preserve">모델승인</t>
    </r>
    <r>
      <rPr>
        <sz val="10"/>
        <rFont val="Arial"/>
        <family val="0"/>
        <charset val="1"/>
      </rPr>
      <t xml:space="preserve">, CCRT </t>
    </r>
    <r>
      <rPr>
        <sz val="10"/>
        <rFont val="WenQuanYi Zen Hei"/>
        <family val="2"/>
      </rPr>
      <t xml:space="preserve">적합성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필수 – 첫 선적 전 준비</t>
    </r>
    <r>
      <rPr>
        <sz val="10"/>
        <rFont val="Arial"/>
        <family val="0"/>
        <charset val="1"/>
      </rPr>
      <t xml:space="preserve">. FTA </t>
    </r>
    <r>
      <rPr>
        <sz val="10"/>
        <rFont val="WenQuanYi Zen Hei"/>
        <family val="2"/>
      </rPr>
      <t xml:space="preserve">없음</t>
    </r>
  </si>
  <si>
    <t xml:space="preserve">CAS, Toledo do Brasil, Mettler, Systel</t>
  </si>
  <si>
    <r>
      <rPr>
        <sz val="10"/>
        <rFont val="WenQuanYi Zen Hei"/>
        <family val="2"/>
      </rPr>
      <t xml:space="preserve">시장 작음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최대 체인 </t>
    </r>
    <r>
      <rPr>
        <sz val="10"/>
        <rFont val="Arial"/>
        <family val="0"/>
        <charset val="1"/>
      </rPr>
      <t xml:space="preserve">Hipermaxi</t>
    </r>
  </si>
  <si>
    <r>
      <rPr>
        <sz val="10"/>
        <rFont val="Arial"/>
        <family val="0"/>
        <charset val="1"/>
      </rPr>
      <t xml:space="preserve">Ley 19.511: </t>
    </r>
    <r>
      <rPr>
        <sz val="10"/>
        <rFont val="WenQuanYi Zen Hei"/>
        <family val="2"/>
      </rPr>
      <t xml:space="preserve">현지 수입사가 </t>
    </r>
    <r>
      <rPr>
        <sz val="10"/>
        <rFont val="Arial"/>
        <family val="0"/>
        <charset val="1"/>
      </rPr>
      <t xml:space="preserve">INTI </t>
    </r>
    <r>
      <rPr>
        <sz val="10"/>
        <rFont val="WenQuanYi Zen Hei"/>
        <family val="2"/>
      </rPr>
      <t xml:space="preserve">시험 → 상무부 모델승인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최초검정</t>
    </r>
    <r>
      <rPr>
        <sz val="10"/>
        <rFont val="Arial"/>
        <family val="0"/>
        <charset val="1"/>
      </rPr>
      <t xml:space="preserve">, RUMP </t>
    </r>
    <r>
      <rPr>
        <sz val="10"/>
        <rFont val="WenQuanYi Zen Hei"/>
        <family val="2"/>
      </rPr>
      <t xml:space="preserve">등록 </t>
    </r>
    <r>
      <rPr>
        <sz val="10"/>
        <rFont val="Arial"/>
        <family val="0"/>
        <charset val="1"/>
      </rPr>
      <t xml:space="preserve">(balanzas@inti.gob.ar). </t>
    </r>
    <r>
      <rPr>
        <sz val="10"/>
        <rFont val="WenQuanYi Zen Hei"/>
        <family val="2"/>
      </rPr>
      <t xml:space="preserve">메르코수르 공동관세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외환 규정 수시 변경</t>
    </r>
  </si>
  <si>
    <r>
      <rPr>
        <sz val="10"/>
        <rFont val="Arial"/>
        <family val="0"/>
        <charset val="1"/>
      </rPr>
      <t xml:space="preserve">Systel·Kretz(</t>
    </r>
    <r>
      <rPr>
        <sz val="10"/>
        <rFont val="WenQuanYi Zen Hei"/>
        <family val="2"/>
      </rPr>
      <t xml:space="preserve">현지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지배적</t>
    </r>
    <r>
      <rPr>
        <sz val="10"/>
        <rFont val="Arial"/>
        <family val="0"/>
        <charset val="1"/>
      </rPr>
      <t xml:space="preserve">, DIGI(Hasar), Bizerba, Mettler</t>
    </r>
  </si>
  <si>
    <r>
      <rPr>
        <sz val="10"/>
        <rFont val="WenQuanYi Zen Hei"/>
        <family val="2"/>
      </rPr>
      <t xml:space="preserve">통관사</t>
    </r>
    <r>
      <rPr>
        <sz val="10"/>
        <rFont val="Arial"/>
        <family val="0"/>
        <charset val="1"/>
      </rPr>
      <t xml:space="preserve">(despachante) </t>
    </r>
    <r>
      <rPr>
        <sz val="10"/>
        <rFont val="WenQuanYi Zen Hei"/>
        <family val="2"/>
      </rPr>
      <t xml:space="preserve">확인 필요</t>
    </r>
  </si>
  <si>
    <r>
      <rPr>
        <sz val="10"/>
        <rFont val="Arial"/>
        <family val="0"/>
        <charset val="1"/>
      </rPr>
      <t xml:space="preserve">LATU </t>
    </r>
    <r>
      <rPr>
        <sz val="10"/>
        <rFont val="WenQuanYi Zen Hei"/>
        <family val="2"/>
      </rPr>
      <t xml:space="preserve">법정계량 승인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관리 필수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메르코수르 공동관세</t>
    </r>
  </si>
  <si>
    <t xml:space="preserve">Dibal(Baudin), Systel, Kretz(Ser-Tec), Mettler</t>
  </si>
  <si>
    <r>
      <rPr>
        <sz val="10"/>
        <rFont val="WenQuanYi Zen Hei"/>
        <family val="2"/>
      </rPr>
      <t xml:space="preserve">주요 체인</t>
    </r>
    <r>
      <rPr>
        <sz val="10"/>
        <rFont val="Arial"/>
        <family val="0"/>
        <charset val="1"/>
      </rPr>
      <t xml:space="preserve">: Disco/Devoto/Géant, Tienda Inglesa</t>
    </r>
  </si>
  <si>
    <r>
      <rPr>
        <sz val="10"/>
        <rFont val="Arial"/>
        <family val="0"/>
        <charset val="1"/>
      </rPr>
      <t xml:space="preserve">INTN-ONM </t>
    </r>
    <r>
      <rPr>
        <sz val="10"/>
        <rFont val="WenQuanYi Zen Hei"/>
        <family val="2"/>
      </rPr>
      <t xml:space="preserve">정기검정 봉인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필수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수입 모델승인 여부 미확인</t>
    </r>
  </si>
  <si>
    <t xml:space="preserve">Kretz, Systel, DINA(Balpar), Dibal</t>
  </si>
  <si>
    <r>
      <rPr>
        <sz val="10"/>
        <rFont val="Arial"/>
        <family val="0"/>
        <charset val="1"/>
      </rPr>
      <t xml:space="preserve">Balpar</t>
    </r>
    <r>
      <rPr>
        <sz val="10"/>
        <rFont val="WenQuanYi Zen Hei"/>
        <family val="2"/>
      </rPr>
      <t xml:space="preserve">가 사실상 관문</t>
    </r>
  </si>
  <si>
    <t xml:space="preserve">적도기니</t>
  </si>
  <si>
    <r>
      <rPr>
        <sz val="10"/>
        <rFont val="Arial"/>
        <family val="0"/>
        <charset val="1"/>
      </rPr>
      <t xml:space="preserve">CEMAC </t>
    </r>
    <r>
      <rPr>
        <sz val="10"/>
        <rFont val="WenQuanYi Zen Hei"/>
        <family val="2"/>
      </rPr>
      <t xml:space="preserve">회원국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법정계량 제도 불명확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현지 유통사 미발견</t>
    </r>
  </si>
  <si>
    <r>
      <rPr>
        <sz val="10"/>
        <rFont val="WenQuanYi Zen Hei"/>
        <family val="2"/>
      </rPr>
      <t xml:space="preserve">스페인 딜러 또는 카메룬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가봉 유통사 경유 – 우선순위 최하</t>
    </r>
  </si>
  <si>
    <r>
      <rPr>
        <b val="true"/>
        <sz val="11"/>
        <rFont val="WenQuanYi Zen Hei"/>
        <family val="2"/>
      </rPr>
      <t xml:space="preserve">공통 </t>
    </r>
    <r>
      <rPr>
        <b val="true"/>
        <sz val="11"/>
        <rFont val="Arial"/>
        <family val="0"/>
        <charset val="1"/>
      </rPr>
      <t xml:space="preserve">TIP</t>
    </r>
  </si>
  <si>
    <t xml:space="preserve">•</t>
  </si>
  <si>
    <r>
      <rPr>
        <sz val="10"/>
        <rFont val="Arial"/>
        <family val="0"/>
        <charset val="1"/>
      </rPr>
      <t xml:space="preserve">OIML R76 </t>
    </r>
    <r>
      <rPr>
        <sz val="10"/>
        <rFont val="WenQuanYi Zen Hei"/>
        <family val="2"/>
      </rPr>
      <t xml:space="preserve">인증서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가능하면 </t>
    </r>
    <r>
      <rPr>
        <sz val="10"/>
        <rFont val="Arial"/>
        <family val="0"/>
        <charset val="1"/>
      </rPr>
      <t xml:space="preserve">MID/OIML MAA)</t>
    </r>
    <r>
      <rPr>
        <sz val="10"/>
        <rFont val="WenQuanYi Zen Hei"/>
        <family val="2"/>
      </rPr>
      <t xml:space="preserve">를 확보하면 페루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콜롬비아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볼리비아 등 형식승인이 크게 쉬워짐</t>
    </r>
  </si>
  <si>
    <r>
      <rPr>
        <sz val="10"/>
        <rFont val="Arial"/>
        <family val="0"/>
        <charset val="1"/>
      </rPr>
      <t xml:space="preserve">CAS(</t>
    </r>
    <r>
      <rPr>
        <sz val="10"/>
        <rFont val="WenQuanYi Zen Hei"/>
        <family val="2"/>
      </rPr>
      <t xml:space="preserve">한국 경쟁사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중남미 전역에 깔려 있음 → </t>
    </r>
    <r>
      <rPr>
        <sz val="10"/>
        <rFont val="Arial"/>
        <family val="0"/>
        <charset val="1"/>
      </rPr>
      <t xml:space="preserve">'CAS </t>
    </r>
    <r>
      <rPr>
        <sz val="10"/>
        <rFont val="WenQuanYi Zen Hei"/>
        <family val="2"/>
      </rPr>
      <t xml:space="preserve">대비 가격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기능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라벨 소프트웨어 우위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비교표를 준비</t>
    </r>
  </si>
  <si>
    <r>
      <rPr>
        <sz val="10"/>
        <rFont val="WenQuanYi Zen Hei"/>
        <family val="2"/>
      </rPr>
      <t xml:space="preserve">스페인어 카탈로그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라벨 </t>
    </r>
    <r>
      <rPr>
        <sz val="10"/>
        <rFont val="Arial"/>
        <family val="0"/>
        <charset val="1"/>
      </rPr>
      <t xml:space="preserve">SW UI·</t>
    </r>
    <r>
      <rPr>
        <sz val="10"/>
        <rFont val="WenQuanYi Zen Hei"/>
        <family val="2"/>
      </rPr>
      <t xml:space="preserve">매뉴얼 필수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저울 라벨 소모품 공급 조건도 함께 제안</t>
    </r>
  </si>
  <si>
    <r>
      <rPr>
        <sz val="10"/>
        <rFont val="WenQuanYi Zen Hei"/>
        <family val="2"/>
      </rPr>
      <t xml:space="preserve">결제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베네수엘라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쿠바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아르헨티나는 선금 또는 확인 </t>
    </r>
    <r>
      <rPr>
        <sz val="10"/>
        <rFont val="Arial"/>
        <family val="0"/>
        <charset val="1"/>
      </rPr>
      <t xml:space="preserve">L/C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</si>
</sst>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11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9"/>
      <color rgb="FF808080"/>
      <name val="WenQuanYi Zen Hei"/>
      <family val="2"/>
    </font>
    <font>
      <sz val="9"/>
      <color rgb="FF808080"/>
      <name val="Arial"/>
      <family val="0"/>
      <charset val="1"/>
    </font>
    <font>
      <b val="tru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5" min="3" style="0" width="8"/>
    <col collapsed="false" customWidth="true" hidden="false" outlineLevel="0" max="6" min="6" style="0" width="11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8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9" t="s">
        <v>10</v>
      </c>
      <c r="B10" s="9" t="s">
        <v>11</v>
      </c>
      <c r="C10" s="10" t="s">
        <v>3</v>
      </c>
      <c r="D10" s="10" t="s">
        <v>5</v>
      </c>
      <c r="E10" s="10" t="s">
        <v>7</v>
      </c>
      <c r="F10" s="9" t="s">
        <v>12</v>
      </c>
    </row>
    <row r="11" customFormat="false" ht="15" hidden="false" customHeight="false" outlineLevel="0" collapsed="false">
      <c r="A11" s="11" t="s">
        <v>13</v>
      </c>
      <c r="B11" s="11" t="n">
        <f aca="false">COUNTIF('바이어 리스트'!$C$2:$C$106,A11)</f>
        <v>12</v>
      </c>
      <c r="C11" s="11" t="n">
        <f aca="false">COUNTIFS('바이어 리스트'!$C$2:$C$106,$A11,'바이어 리스트'!$B$2:$B$106,"A")</f>
        <v>3</v>
      </c>
      <c r="D11" s="11" t="n">
        <f aca="false">COUNTIFS('바이어 리스트'!$C$2:$C$106,$A11,'바이어 리스트'!$B$2:$B$106,"B")</f>
        <v>5</v>
      </c>
      <c r="E11" s="11" t="n">
        <f aca="false">COUNTIFS('바이어 리스트'!$C$2:$C$106,$A11,'바이어 리스트'!$B$2:$B$106,"C")</f>
        <v>4</v>
      </c>
      <c r="F11" s="11" t="n">
        <f aca="false">COUNTIFS('바이어 리스트'!$C$2:$C$106,A11,'바이어 리스트'!$G$2:$G$106,"*@*")</f>
        <v>12</v>
      </c>
    </row>
    <row r="12" customFormat="false" ht="15" hidden="false" customHeight="false" outlineLevel="0" collapsed="false">
      <c r="A12" s="11" t="s">
        <v>14</v>
      </c>
      <c r="B12" s="11" t="n">
        <f aca="false">COUNTIF('바이어 리스트'!$C$2:$C$106,A12)</f>
        <v>5</v>
      </c>
      <c r="C12" s="11" t="n">
        <f aca="false">COUNTIFS('바이어 리스트'!$C$2:$C$106,$A12,'바이어 리스트'!$B$2:$B$106,"A")</f>
        <v>1</v>
      </c>
      <c r="D12" s="11" t="n">
        <f aca="false">COUNTIFS('바이어 리스트'!$C$2:$C$106,$A12,'바이어 리스트'!$B$2:$B$106,"B")</f>
        <v>3</v>
      </c>
      <c r="E12" s="11" t="n">
        <f aca="false">COUNTIFS('바이어 리스트'!$C$2:$C$106,$A12,'바이어 리스트'!$B$2:$B$106,"C")</f>
        <v>1</v>
      </c>
      <c r="F12" s="11" t="n">
        <f aca="false">COUNTIFS('바이어 리스트'!$C$2:$C$106,A12,'바이어 리스트'!$G$2:$G$106,"*@*")</f>
        <v>5</v>
      </c>
    </row>
    <row r="13" customFormat="false" ht="15" hidden="false" customHeight="false" outlineLevel="0" collapsed="false">
      <c r="A13" s="11" t="s">
        <v>15</v>
      </c>
      <c r="B13" s="11" t="n">
        <f aca="false">COUNTIF('바이어 리스트'!$C$2:$C$106,A13)</f>
        <v>3</v>
      </c>
      <c r="C13" s="11" t="n">
        <f aca="false">COUNTIFS('바이어 리스트'!$C$2:$C$106,$A13,'바이어 리스트'!$B$2:$B$106,"A")</f>
        <v>1</v>
      </c>
      <c r="D13" s="11" t="n">
        <f aca="false">COUNTIFS('바이어 리스트'!$C$2:$C$106,$A13,'바이어 리스트'!$B$2:$B$106,"B")</f>
        <v>2</v>
      </c>
      <c r="E13" s="11" t="n">
        <f aca="false">COUNTIFS('바이어 리스트'!$C$2:$C$106,$A13,'바이어 리스트'!$B$2:$B$106,"C")</f>
        <v>0</v>
      </c>
      <c r="F13" s="11" t="n">
        <f aca="false">COUNTIFS('바이어 리스트'!$C$2:$C$106,A13,'바이어 리스트'!$G$2:$G$106,"*@*")</f>
        <v>3</v>
      </c>
    </row>
    <row r="14" customFormat="false" ht="15" hidden="false" customHeight="false" outlineLevel="0" collapsed="false">
      <c r="A14" s="11" t="s">
        <v>16</v>
      </c>
      <c r="B14" s="11" t="n">
        <f aca="false">COUNTIF('바이어 리스트'!$C$2:$C$106,A14)</f>
        <v>6</v>
      </c>
      <c r="C14" s="11" t="n">
        <f aca="false">COUNTIFS('바이어 리스트'!$C$2:$C$106,$A14,'바이어 리스트'!$B$2:$B$106,"A")</f>
        <v>2</v>
      </c>
      <c r="D14" s="11" t="n">
        <f aca="false">COUNTIFS('바이어 리스트'!$C$2:$C$106,$A14,'바이어 리스트'!$B$2:$B$106,"B")</f>
        <v>2</v>
      </c>
      <c r="E14" s="11" t="n">
        <f aca="false">COUNTIFS('바이어 리스트'!$C$2:$C$106,$A14,'바이어 리스트'!$B$2:$B$106,"C")</f>
        <v>2</v>
      </c>
      <c r="F14" s="11" t="n">
        <f aca="false">COUNTIFS('바이어 리스트'!$C$2:$C$106,A14,'바이어 리스트'!$G$2:$G$106,"*@*")</f>
        <v>5</v>
      </c>
    </row>
    <row r="15" customFormat="false" ht="15" hidden="false" customHeight="false" outlineLevel="0" collapsed="false">
      <c r="A15" s="11" t="s">
        <v>17</v>
      </c>
      <c r="B15" s="11" t="n">
        <f aca="false">COUNTIF('바이어 리스트'!$C$2:$C$106,A15)</f>
        <v>3</v>
      </c>
      <c r="C15" s="11" t="n">
        <f aca="false">COUNTIFS('바이어 리스트'!$C$2:$C$106,$A15,'바이어 리스트'!$B$2:$B$106,"A")</f>
        <v>1</v>
      </c>
      <c r="D15" s="11" t="n">
        <f aca="false">COUNTIFS('바이어 리스트'!$C$2:$C$106,$A15,'바이어 리스트'!$B$2:$B$106,"B")</f>
        <v>1</v>
      </c>
      <c r="E15" s="11" t="n">
        <f aca="false">COUNTIFS('바이어 리스트'!$C$2:$C$106,$A15,'바이어 리스트'!$B$2:$B$106,"C")</f>
        <v>1</v>
      </c>
      <c r="F15" s="11" t="n">
        <f aca="false">COUNTIFS('바이어 리스트'!$C$2:$C$106,A15,'바이어 리스트'!$G$2:$G$106,"*@*")</f>
        <v>3</v>
      </c>
    </row>
    <row r="16" customFormat="false" ht="15" hidden="false" customHeight="false" outlineLevel="0" collapsed="false">
      <c r="A16" s="11" t="s">
        <v>18</v>
      </c>
      <c r="B16" s="11" t="n">
        <f aca="false">COUNTIF('바이어 리스트'!$C$2:$C$106,A16)</f>
        <v>5</v>
      </c>
      <c r="C16" s="11" t="n">
        <f aca="false">COUNTIFS('바이어 리스트'!$C$2:$C$106,$A16,'바이어 리스트'!$B$2:$B$106,"A")</f>
        <v>2</v>
      </c>
      <c r="D16" s="11" t="n">
        <f aca="false">COUNTIFS('바이어 리스트'!$C$2:$C$106,$A16,'바이어 리스트'!$B$2:$B$106,"B")</f>
        <v>2</v>
      </c>
      <c r="E16" s="11" t="n">
        <f aca="false">COUNTIFS('바이어 리스트'!$C$2:$C$106,$A16,'바이어 리스트'!$B$2:$B$106,"C")</f>
        <v>1</v>
      </c>
      <c r="F16" s="11" t="n">
        <f aca="false">COUNTIFS('바이어 리스트'!$C$2:$C$106,A16,'바이어 리스트'!$G$2:$G$106,"*@*")</f>
        <v>4</v>
      </c>
    </row>
    <row r="17" customFormat="false" ht="15" hidden="false" customHeight="false" outlineLevel="0" collapsed="false">
      <c r="A17" s="11" t="s">
        <v>19</v>
      </c>
      <c r="B17" s="11" t="n">
        <f aca="false">COUNTIF('바이어 리스트'!$C$2:$C$106,A17)</f>
        <v>5</v>
      </c>
      <c r="C17" s="11" t="n">
        <f aca="false">COUNTIFS('바이어 리스트'!$C$2:$C$106,$A17,'바이어 리스트'!$B$2:$B$106,"A")</f>
        <v>1</v>
      </c>
      <c r="D17" s="11" t="n">
        <f aca="false">COUNTIFS('바이어 리스트'!$C$2:$C$106,$A17,'바이어 리스트'!$B$2:$B$106,"B")</f>
        <v>2</v>
      </c>
      <c r="E17" s="11" t="n">
        <f aca="false">COUNTIFS('바이어 리스트'!$C$2:$C$106,$A17,'바이어 리스트'!$B$2:$B$106,"C")</f>
        <v>2</v>
      </c>
      <c r="F17" s="11" t="n">
        <f aca="false">COUNTIFS('바이어 리스트'!$C$2:$C$106,A17,'바이어 리스트'!$G$2:$G$106,"*@*")</f>
        <v>5</v>
      </c>
    </row>
    <row r="18" customFormat="false" ht="15" hidden="false" customHeight="false" outlineLevel="0" collapsed="false">
      <c r="A18" s="11" t="s">
        <v>20</v>
      </c>
      <c r="B18" s="11" t="n">
        <f aca="false">COUNTIF('바이어 리스트'!$C$2:$C$106,A18)</f>
        <v>8</v>
      </c>
      <c r="C18" s="11" t="n">
        <f aca="false">COUNTIFS('바이어 리스트'!$C$2:$C$106,$A18,'바이어 리스트'!$B$2:$B$106,"A")</f>
        <v>2</v>
      </c>
      <c r="D18" s="11" t="n">
        <f aca="false">COUNTIFS('바이어 리스트'!$C$2:$C$106,$A18,'바이어 리스트'!$B$2:$B$106,"B")</f>
        <v>5</v>
      </c>
      <c r="E18" s="11" t="n">
        <f aca="false">COUNTIFS('바이어 리스트'!$C$2:$C$106,$A18,'바이어 리스트'!$B$2:$B$106,"C")</f>
        <v>1</v>
      </c>
      <c r="F18" s="11" t="n">
        <f aca="false">COUNTIFS('바이어 리스트'!$C$2:$C$106,A18,'바이어 리스트'!$G$2:$G$106,"*@*")</f>
        <v>7</v>
      </c>
    </row>
    <row r="19" customFormat="false" ht="15" hidden="false" customHeight="false" outlineLevel="0" collapsed="false">
      <c r="A19" s="11" t="s">
        <v>21</v>
      </c>
      <c r="B19" s="11" t="n">
        <f aca="false">COUNTIF('바이어 리스트'!$C$2:$C$106,A19)</f>
        <v>6</v>
      </c>
      <c r="C19" s="11" t="n">
        <f aca="false">COUNTIFS('바이어 리스트'!$C$2:$C$106,$A19,'바이어 리스트'!$B$2:$B$106,"A")</f>
        <v>1</v>
      </c>
      <c r="D19" s="11" t="n">
        <f aca="false">COUNTIFS('바이어 리스트'!$C$2:$C$106,$A19,'바이어 리스트'!$B$2:$B$106,"B")</f>
        <v>2</v>
      </c>
      <c r="E19" s="11" t="n">
        <f aca="false">COUNTIFS('바이어 리스트'!$C$2:$C$106,$A19,'바이어 리스트'!$B$2:$B$106,"C")</f>
        <v>3</v>
      </c>
      <c r="F19" s="11" t="n">
        <f aca="false">COUNTIFS('바이어 리스트'!$C$2:$C$106,A19,'바이어 리스트'!$G$2:$G$106,"*@*")</f>
        <v>6</v>
      </c>
    </row>
    <row r="20" customFormat="false" ht="15" hidden="false" customHeight="false" outlineLevel="0" collapsed="false">
      <c r="A20" s="11" t="s">
        <v>22</v>
      </c>
      <c r="B20" s="11" t="n">
        <f aca="false">COUNTIF('바이어 리스트'!$C$2:$C$106,A20)</f>
        <v>4</v>
      </c>
      <c r="C20" s="11" t="n">
        <f aca="false">COUNTIFS('바이어 리스트'!$C$2:$C$106,$A20,'바이어 리스트'!$B$2:$B$106,"A")</f>
        <v>1</v>
      </c>
      <c r="D20" s="11" t="n">
        <f aca="false">COUNTIFS('바이어 리스트'!$C$2:$C$106,$A20,'바이어 리스트'!$B$2:$B$106,"B")</f>
        <v>3</v>
      </c>
      <c r="E20" s="11" t="n">
        <f aca="false">COUNTIFS('바이어 리스트'!$C$2:$C$106,$A20,'바이어 리스트'!$B$2:$B$106,"C")</f>
        <v>0</v>
      </c>
      <c r="F20" s="11" t="n">
        <f aca="false">COUNTIFS('바이어 리스트'!$C$2:$C$106,A20,'바이어 리스트'!$G$2:$G$106,"*@*")</f>
        <v>4</v>
      </c>
    </row>
    <row r="21" customFormat="false" ht="15" hidden="false" customHeight="false" outlineLevel="0" collapsed="false">
      <c r="A21" s="11" t="s">
        <v>23</v>
      </c>
      <c r="B21" s="11" t="n">
        <f aca="false">COUNTIF('바이어 리스트'!$C$2:$C$106,A21)</f>
        <v>6</v>
      </c>
      <c r="C21" s="11" t="n">
        <f aca="false">COUNTIFS('바이어 리스트'!$C$2:$C$106,$A21,'바이어 리스트'!$B$2:$B$106,"A")</f>
        <v>0</v>
      </c>
      <c r="D21" s="11" t="n">
        <f aca="false">COUNTIFS('바이어 리스트'!$C$2:$C$106,$A21,'바이어 리스트'!$B$2:$B$106,"B")</f>
        <v>5</v>
      </c>
      <c r="E21" s="11" t="n">
        <f aca="false">COUNTIFS('바이어 리스트'!$C$2:$C$106,$A21,'바이어 리스트'!$B$2:$B$106,"C")</f>
        <v>1</v>
      </c>
      <c r="F21" s="11" t="n">
        <f aca="false">COUNTIFS('바이어 리스트'!$C$2:$C$106,A21,'바이어 리스트'!$G$2:$G$106,"*@*")</f>
        <v>6</v>
      </c>
    </row>
    <row r="22" customFormat="false" ht="15" hidden="false" customHeight="false" outlineLevel="0" collapsed="false">
      <c r="A22" s="11" t="s">
        <v>24</v>
      </c>
      <c r="B22" s="11" t="n">
        <f aca="false">COUNTIF('바이어 리스트'!$C$2:$C$106,A22)</f>
        <v>3</v>
      </c>
      <c r="C22" s="11" t="n">
        <f aca="false">COUNTIFS('바이어 리스트'!$C$2:$C$106,$A22,'바이어 리스트'!$B$2:$B$106,"A")</f>
        <v>0</v>
      </c>
      <c r="D22" s="11" t="n">
        <f aca="false">COUNTIFS('바이어 리스트'!$C$2:$C$106,$A22,'바이어 리스트'!$B$2:$B$106,"B")</f>
        <v>1</v>
      </c>
      <c r="E22" s="11" t="n">
        <f aca="false">COUNTIFS('바이어 리스트'!$C$2:$C$106,$A22,'바이어 리스트'!$B$2:$B$106,"C")</f>
        <v>2</v>
      </c>
      <c r="F22" s="11" t="n">
        <f aca="false">COUNTIFS('바이어 리스트'!$C$2:$C$106,A22,'바이어 리스트'!$G$2:$G$106,"*@*")</f>
        <v>3</v>
      </c>
    </row>
    <row r="23" customFormat="false" ht="15" hidden="false" customHeight="false" outlineLevel="0" collapsed="false">
      <c r="A23" s="11" t="s">
        <v>25</v>
      </c>
      <c r="B23" s="11" t="n">
        <f aca="false">COUNTIF('바이어 리스트'!$C$2:$C$106,A23)</f>
        <v>8</v>
      </c>
      <c r="C23" s="11" t="n">
        <f aca="false">COUNTIFS('바이어 리스트'!$C$2:$C$106,$A23,'바이어 리스트'!$B$2:$B$106,"A")</f>
        <v>3</v>
      </c>
      <c r="D23" s="11" t="n">
        <f aca="false">COUNTIFS('바이어 리스트'!$C$2:$C$106,$A23,'바이어 리스트'!$B$2:$B$106,"B")</f>
        <v>3</v>
      </c>
      <c r="E23" s="11" t="n">
        <f aca="false">COUNTIFS('바이어 리스트'!$C$2:$C$106,$A23,'바이어 리스트'!$B$2:$B$106,"C")</f>
        <v>2</v>
      </c>
      <c r="F23" s="11" t="n">
        <f aca="false">COUNTIFS('바이어 리스트'!$C$2:$C$106,A23,'바이어 리스트'!$G$2:$G$106,"*@*")</f>
        <v>7</v>
      </c>
    </row>
    <row r="24" customFormat="false" ht="15" hidden="false" customHeight="false" outlineLevel="0" collapsed="false">
      <c r="A24" s="11" t="s">
        <v>26</v>
      </c>
      <c r="B24" s="11" t="n">
        <f aca="false">COUNTIF('바이어 리스트'!$C$2:$C$106,A24)</f>
        <v>8</v>
      </c>
      <c r="C24" s="11" t="n">
        <f aca="false">COUNTIFS('바이어 리스트'!$C$2:$C$106,$A24,'바이어 리스트'!$B$2:$B$106,"A")</f>
        <v>3</v>
      </c>
      <c r="D24" s="11" t="n">
        <f aca="false">COUNTIFS('바이어 리스트'!$C$2:$C$106,$A24,'바이어 리스트'!$B$2:$B$106,"B")</f>
        <v>2</v>
      </c>
      <c r="E24" s="11" t="n">
        <f aca="false">COUNTIFS('바이어 리스트'!$C$2:$C$106,$A24,'바이어 리스트'!$B$2:$B$106,"C")</f>
        <v>3</v>
      </c>
      <c r="F24" s="11" t="n">
        <f aca="false">COUNTIFS('바이어 리스트'!$C$2:$C$106,A24,'바이어 리스트'!$G$2:$G$106,"*@*")</f>
        <v>8</v>
      </c>
    </row>
    <row r="25" customFormat="false" ht="15" hidden="false" customHeight="false" outlineLevel="0" collapsed="false">
      <c r="A25" s="11" t="s">
        <v>27</v>
      </c>
      <c r="B25" s="11" t="n">
        <f aca="false">COUNTIF('바이어 리스트'!$C$2:$C$106,A25)</f>
        <v>5</v>
      </c>
      <c r="C25" s="11" t="n">
        <f aca="false">COUNTIFS('바이어 리스트'!$C$2:$C$106,$A25,'바이어 리스트'!$B$2:$B$106,"A")</f>
        <v>2</v>
      </c>
      <c r="D25" s="11" t="n">
        <f aca="false">COUNTIFS('바이어 리스트'!$C$2:$C$106,$A25,'바이어 리스트'!$B$2:$B$106,"B")</f>
        <v>2</v>
      </c>
      <c r="E25" s="11" t="n">
        <f aca="false">COUNTIFS('바이어 리스트'!$C$2:$C$106,$A25,'바이어 리스트'!$B$2:$B$106,"C")</f>
        <v>1</v>
      </c>
      <c r="F25" s="11" t="n">
        <f aca="false">COUNTIFS('바이어 리스트'!$C$2:$C$106,A25,'바이어 리스트'!$G$2:$G$106,"*@*")</f>
        <v>5</v>
      </c>
    </row>
    <row r="26" customFormat="false" ht="15" hidden="false" customHeight="false" outlineLevel="0" collapsed="false">
      <c r="A26" s="11" t="s">
        <v>28</v>
      </c>
      <c r="B26" s="11" t="n">
        <f aca="false">COUNTIF('바이어 리스트'!$C$2:$C$106,A26)</f>
        <v>9</v>
      </c>
      <c r="C26" s="11" t="n">
        <f aca="false">COUNTIFS('바이어 리스트'!$C$2:$C$106,$A26,'바이어 리스트'!$B$2:$B$106,"A")</f>
        <v>1</v>
      </c>
      <c r="D26" s="11" t="n">
        <f aca="false">COUNTIFS('바이어 리스트'!$C$2:$C$106,$A26,'바이어 리스트'!$B$2:$B$106,"B")</f>
        <v>5</v>
      </c>
      <c r="E26" s="11" t="n">
        <f aca="false">COUNTIFS('바이어 리스트'!$C$2:$C$106,$A26,'바이어 리스트'!$B$2:$B$106,"C")</f>
        <v>3</v>
      </c>
      <c r="F26" s="11" t="n">
        <f aca="false">COUNTIFS('바이어 리스트'!$C$2:$C$106,A26,'바이어 리스트'!$G$2:$G$106,"*@*")</f>
        <v>9</v>
      </c>
    </row>
    <row r="27" customFormat="false" ht="15" hidden="false" customHeight="false" outlineLevel="0" collapsed="false">
      <c r="A27" s="11" t="s">
        <v>29</v>
      </c>
      <c r="B27" s="11" t="n">
        <f aca="false">COUNTIF('바이어 리스트'!$C$2:$C$106,A27)</f>
        <v>5</v>
      </c>
      <c r="C27" s="11" t="n">
        <f aca="false">COUNTIFS('바이어 리스트'!$C$2:$C$106,$A27,'바이어 리스트'!$B$2:$B$106,"A")</f>
        <v>2</v>
      </c>
      <c r="D27" s="11" t="n">
        <f aca="false">COUNTIFS('바이어 리스트'!$C$2:$C$106,$A27,'바이어 리스트'!$B$2:$B$106,"B")</f>
        <v>1</v>
      </c>
      <c r="E27" s="11" t="n">
        <f aca="false">COUNTIFS('바이어 리스트'!$C$2:$C$106,$A27,'바이어 리스트'!$B$2:$B$106,"C")</f>
        <v>2</v>
      </c>
      <c r="F27" s="11" t="n">
        <f aca="false">COUNTIFS('바이어 리스트'!$C$2:$C$106,A27,'바이어 리스트'!$G$2:$G$106,"*@*")</f>
        <v>5</v>
      </c>
    </row>
    <row r="28" customFormat="false" ht="15" hidden="false" customHeight="false" outlineLevel="0" collapsed="false">
      <c r="A28" s="11" t="s">
        <v>30</v>
      </c>
      <c r="B28" s="11" t="n">
        <f aca="false">COUNTIF('바이어 리스트'!$C$2:$C$106,A28)</f>
        <v>4</v>
      </c>
      <c r="C28" s="11" t="n">
        <f aca="false">COUNTIFS('바이어 리스트'!$C$2:$C$106,$A28,'바이어 리스트'!$B$2:$B$106,"A")</f>
        <v>2</v>
      </c>
      <c r="D28" s="11" t="n">
        <f aca="false">COUNTIFS('바이어 리스트'!$C$2:$C$106,$A28,'바이어 리스트'!$B$2:$B$106,"B")</f>
        <v>0</v>
      </c>
      <c r="E28" s="11" t="n">
        <f aca="false">COUNTIFS('바이어 리스트'!$C$2:$C$106,$A28,'바이어 리스트'!$B$2:$B$106,"C")</f>
        <v>2</v>
      </c>
      <c r="F28" s="11" t="n">
        <f aca="false">COUNTIFS('바이어 리스트'!$C$2:$C$106,A28,'바이어 리스트'!$G$2:$G$106,"*@*")</f>
        <v>4</v>
      </c>
    </row>
    <row r="29" customFormat="false" ht="15" hidden="false" customHeight="false" outlineLevel="0" collapsed="false">
      <c r="A29" s="3" t="s">
        <v>31</v>
      </c>
      <c r="B29" s="3" t="n">
        <f aca="false">SUM(B11:B28)</f>
        <v>105</v>
      </c>
      <c r="C29" s="3" t="n">
        <f aca="false">SUM(C11:C28)</f>
        <v>28</v>
      </c>
      <c r="D29" s="3" t="n">
        <f aca="false">SUM(D11:D28)</f>
        <v>46</v>
      </c>
      <c r="E29" s="3" t="n">
        <f aca="false">SUM(E11:E28)</f>
        <v>31</v>
      </c>
      <c r="F29" s="3" t="n">
        <f aca="false">SUM(F11:F28)</f>
        <v>101</v>
      </c>
    </row>
    <row r="31" customFormat="false" ht="15" hidden="false" customHeight="false" outlineLevel="0" collapsed="false">
      <c r="A31" s="1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3" t="s">
        <v>33</v>
      </c>
      <c r="B1" s="13" t="s">
        <v>10</v>
      </c>
      <c r="C1" s="13" t="s">
        <v>34</v>
      </c>
      <c r="D1" s="13" t="s">
        <v>35</v>
      </c>
      <c r="E1" s="13" t="s">
        <v>36</v>
      </c>
    </row>
    <row r="2" customFormat="false" ht="15" hidden="false" customHeight="false" outlineLevel="0" collapsed="false">
      <c r="A2" s="14" t="s">
        <v>3</v>
      </c>
      <c r="B2" s="11" t="s">
        <v>14</v>
      </c>
      <c r="C2" s="15" t="s">
        <v>37</v>
      </c>
      <c r="D2" s="15" t="s">
        <v>38</v>
      </c>
      <c r="E2" s="11" t="s">
        <v>39</v>
      </c>
    </row>
    <row r="3" customFormat="false" ht="15" hidden="false" customHeight="false" outlineLevel="0" collapsed="false">
      <c r="A3" s="14" t="s">
        <v>3</v>
      </c>
      <c r="B3" s="11" t="s">
        <v>17</v>
      </c>
      <c r="C3" s="15" t="s">
        <v>40</v>
      </c>
      <c r="D3" s="15" t="s">
        <v>41</v>
      </c>
      <c r="E3" s="11" t="s">
        <v>39</v>
      </c>
    </row>
    <row r="4" customFormat="false" ht="15" hidden="false" customHeight="false" outlineLevel="0" collapsed="false">
      <c r="A4" s="14" t="s">
        <v>3</v>
      </c>
      <c r="B4" s="11" t="s">
        <v>22</v>
      </c>
      <c r="C4" s="15" t="s">
        <v>42</v>
      </c>
      <c r="D4" s="15" t="s">
        <v>43</v>
      </c>
      <c r="E4" s="11" t="s">
        <v>39</v>
      </c>
    </row>
    <row r="5" customFormat="false" ht="15" hidden="false" customHeight="false" outlineLevel="0" collapsed="false">
      <c r="A5" s="14" t="s">
        <v>3</v>
      </c>
      <c r="B5" s="11" t="s">
        <v>22</v>
      </c>
      <c r="C5" s="15" t="s">
        <v>42</v>
      </c>
      <c r="D5" s="15" t="s">
        <v>44</v>
      </c>
      <c r="E5" s="15"/>
    </row>
    <row r="6" customFormat="false" ht="15" hidden="false" customHeight="false" outlineLevel="0" collapsed="false">
      <c r="A6" s="14" t="s">
        <v>3</v>
      </c>
      <c r="B6" s="11" t="s">
        <v>13</v>
      </c>
      <c r="C6" s="15" t="s">
        <v>45</v>
      </c>
      <c r="D6" s="15" t="s">
        <v>46</v>
      </c>
      <c r="E6" s="11" t="s">
        <v>39</v>
      </c>
    </row>
    <row r="7" customFormat="false" ht="15" hidden="false" customHeight="false" outlineLevel="0" collapsed="false">
      <c r="A7" s="14" t="s">
        <v>3</v>
      </c>
      <c r="B7" s="11" t="s">
        <v>13</v>
      </c>
      <c r="C7" s="15" t="s">
        <v>47</v>
      </c>
      <c r="D7" s="15" t="s">
        <v>48</v>
      </c>
      <c r="E7" s="11" t="s">
        <v>39</v>
      </c>
    </row>
    <row r="8" customFormat="false" ht="15" hidden="false" customHeight="false" outlineLevel="0" collapsed="false">
      <c r="A8" s="14" t="s">
        <v>3</v>
      </c>
      <c r="B8" s="11" t="s">
        <v>13</v>
      </c>
      <c r="C8" s="15" t="s">
        <v>49</v>
      </c>
      <c r="D8" s="15" t="s">
        <v>50</v>
      </c>
      <c r="E8" s="11" t="s">
        <v>39</v>
      </c>
    </row>
    <row r="9" customFormat="false" ht="15" hidden="false" customHeight="false" outlineLevel="0" collapsed="false">
      <c r="A9" s="14" t="s">
        <v>3</v>
      </c>
      <c r="B9" s="11" t="s">
        <v>27</v>
      </c>
      <c r="C9" s="15" t="s">
        <v>51</v>
      </c>
      <c r="D9" s="15" t="s">
        <v>52</v>
      </c>
      <c r="E9" s="11" t="s">
        <v>39</v>
      </c>
    </row>
    <row r="10" customFormat="false" ht="15" hidden="false" customHeight="false" outlineLevel="0" collapsed="false">
      <c r="A10" s="14" t="s">
        <v>3</v>
      </c>
      <c r="B10" s="11" t="s">
        <v>27</v>
      </c>
      <c r="C10" s="15" t="s">
        <v>51</v>
      </c>
      <c r="D10" s="15" t="s">
        <v>53</v>
      </c>
      <c r="E10" s="15"/>
    </row>
    <row r="11" customFormat="false" ht="15" hidden="false" customHeight="false" outlineLevel="0" collapsed="false">
      <c r="A11" s="14" t="s">
        <v>3</v>
      </c>
      <c r="B11" s="11" t="s">
        <v>27</v>
      </c>
      <c r="C11" s="15" t="s">
        <v>54</v>
      </c>
      <c r="D11" s="15" t="s">
        <v>55</v>
      </c>
      <c r="E11" s="11" t="s">
        <v>39</v>
      </c>
    </row>
    <row r="12" customFormat="false" ht="15" hidden="false" customHeight="false" outlineLevel="0" collapsed="false">
      <c r="A12" s="14" t="s">
        <v>3</v>
      </c>
      <c r="B12" s="11" t="s">
        <v>28</v>
      </c>
      <c r="C12" s="15" t="s">
        <v>56</v>
      </c>
      <c r="D12" s="15" t="s">
        <v>57</v>
      </c>
      <c r="E12" s="11" t="s">
        <v>39</v>
      </c>
    </row>
    <row r="13" customFormat="false" ht="15" hidden="false" customHeight="false" outlineLevel="0" collapsed="false">
      <c r="A13" s="14" t="s">
        <v>3</v>
      </c>
      <c r="B13" s="11" t="s">
        <v>21</v>
      </c>
      <c r="C13" s="15" t="s">
        <v>58</v>
      </c>
      <c r="D13" s="15" t="s">
        <v>59</v>
      </c>
      <c r="E13" s="11" t="s">
        <v>39</v>
      </c>
    </row>
    <row r="14" customFormat="false" ht="15" hidden="false" customHeight="false" outlineLevel="0" collapsed="false">
      <c r="A14" s="14" t="s">
        <v>3</v>
      </c>
      <c r="B14" s="11" t="s">
        <v>21</v>
      </c>
      <c r="C14" s="15" t="s">
        <v>58</v>
      </c>
      <c r="D14" s="15" t="s">
        <v>60</v>
      </c>
      <c r="E14" s="15"/>
    </row>
    <row r="15" customFormat="false" ht="15" hidden="false" customHeight="false" outlineLevel="0" collapsed="false">
      <c r="A15" s="14" t="s">
        <v>3</v>
      </c>
      <c r="B15" s="11" t="s">
        <v>15</v>
      </c>
      <c r="C15" s="15" t="s">
        <v>61</v>
      </c>
      <c r="D15" s="15" t="s">
        <v>62</v>
      </c>
      <c r="E15" s="11" t="s">
        <v>39</v>
      </c>
    </row>
    <row r="16" customFormat="false" ht="15" hidden="false" customHeight="false" outlineLevel="0" collapsed="false">
      <c r="A16" s="14" t="s">
        <v>3</v>
      </c>
      <c r="B16" s="11" t="s">
        <v>16</v>
      </c>
      <c r="C16" s="15" t="s">
        <v>63</v>
      </c>
      <c r="D16" s="15" t="s">
        <v>64</v>
      </c>
      <c r="E16" s="11" t="s">
        <v>39</v>
      </c>
    </row>
    <row r="17" customFormat="false" ht="15" hidden="false" customHeight="false" outlineLevel="0" collapsed="false">
      <c r="A17" s="14" t="s">
        <v>3</v>
      </c>
      <c r="B17" s="11" t="s">
        <v>16</v>
      </c>
      <c r="C17" s="15" t="s">
        <v>65</v>
      </c>
      <c r="D17" s="15" t="s">
        <v>66</v>
      </c>
      <c r="E17" s="11" t="s">
        <v>39</v>
      </c>
    </row>
    <row r="18" customFormat="false" ht="15" hidden="false" customHeight="false" outlineLevel="0" collapsed="false">
      <c r="A18" s="14" t="s">
        <v>3</v>
      </c>
      <c r="B18" s="11" t="s">
        <v>29</v>
      </c>
      <c r="C18" s="15" t="s">
        <v>67</v>
      </c>
      <c r="D18" s="15" t="s">
        <v>68</v>
      </c>
      <c r="E18" s="11" t="s">
        <v>39</v>
      </c>
    </row>
    <row r="19" customFormat="false" ht="15" hidden="false" customHeight="false" outlineLevel="0" collapsed="false">
      <c r="A19" s="14" t="s">
        <v>3</v>
      </c>
      <c r="B19" s="11" t="s">
        <v>29</v>
      </c>
      <c r="C19" s="15" t="s">
        <v>67</v>
      </c>
      <c r="D19" s="15" t="s">
        <v>69</v>
      </c>
      <c r="E19" s="15"/>
    </row>
    <row r="20" customFormat="false" ht="15" hidden="false" customHeight="false" outlineLevel="0" collapsed="false">
      <c r="A20" s="14" t="s">
        <v>3</v>
      </c>
      <c r="B20" s="11" t="s">
        <v>29</v>
      </c>
      <c r="C20" s="15" t="s">
        <v>70</v>
      </c>
      <c r="D20" s="15" t="s">
        <v>71</v>
      </c>
      <c r="E20" s="11" t="s">
        <v>39</v>
      </c>
    </row>
    <row r="21" customFormat="false" ht="15" hidden="false" customHeight="false" outlineLevel="0" collapsed="false">
      <c r="A21" s="14" t="s">
        <v>3</v>
      </c>
      <c r="B21" s="11" t="s">
        <v>29</v>
      </c>
      <c r="C21" s="15" t="s">
        <v>70</v>
      </c>
      <c r="D21" s="15" t="s">
        <v>72</v>
      </c>
      <c r="E21" s="15"/>
    </row>
    <row r="22" customFormat="false" ht="15" hidden="false" customHeight="false" outlineLevel="0" collapsed="false">
      <c r="A22" s="14" t="s">
        <v>3</v>
      </c>
      <c r="B22" s="11" t="s">
        <v>26</v>
      </c>
      <c r="C22" s="15" t="s">
        <v>73</v>
      </c>
      <c r="D22" s="15" t="s">
        <v>74</v>
      </c>
      <c r="E22" s="11" t="s">
        <v>39</v>
      </c>
    </row>
    <row r="23" customFormat="false" ht="15" hidden="false" customHeight="false" outlineLevel="0" collapsed="false">
      <c r="A23" s="14" t="s">
        <v>3</v>
      </c>
      <c r="B23" s="11" t="s">
        <v>26</v>
      </c>
      <c r="C23" s="15" t="s">
        <v>75</v>
      </c>
      <c r="D23" s="15" t="s">
        <v>76</v>
      </c>
      <c r="E23" s="11" t="s">
        <v>39</v>
      </c>
    </row>
    <row r="24" customFormat="false" ht="15" hidden="false" customHeight="false" outlineLevel="0" collapsed="false">
      <c r="A24" s="14" t="s">
        <v>3</v>
      </c>
      <c r="B24" s="11" t="s">
        <v>26</v>
      </c>
      <c r="C24" s="15" t="s">
        <v>77</v>
      </c>
      <c r="D24" s="15" t="s">
        <v>78</v>
      </c>
      <c r="E24" s="11" t="s">
        <v>39</v>
      </c>
    </row>
    <row r="25" customFormat="false" ht="15" hidden="false" customHeight="false" outlineLevel="0" collapsed="false">
      <c r="A25" s="14" t="s">
        <v>3</v>
      </c>
      <c r="B25" s="11" t="s">
        <v>18</v>
      </c>
      <c r="C25" s="15" t="s">
        <v>79</v>
      </c>
      <c r="D25" s="15" t="s">
        <v>80</v>
      </c>
      <c r="E25" s="11" t="s">
        <v>39</v>
      </c>
    </row>
    <row r="26" customFormat="false" ht="15" hidden="false" customHeight="false" outlineLevel="0" collapsed="false">
      <c r="A26" s="14" t="s">
        <v>3</v>
      </c>
      <c r="B26" s="11" t="s">
        <v>18</v>
      </c>
      <c r="C26" s="15" t="s">
        <v>79</v>
      </c>
      <c r="D26" s="15" t="s">
        <v>81</v>
      </c>
      <c r="E26" s="15"/>
    </row>
    <row r="27" customFormat="false" ht="15" hidden="false" customHeight="false" outlineLevel="0" collapsed="false">
      <c r="A27" s="14" t="s">
        <v>3</v>
      </c>
      <c r="B27" s="11" t="s">
        <v>18</v>
      </c>
      <c r="C27" s="15" t="s">
        <v>82</v>
      </c>
      <c r="D27" s="15" t="s">
        <v>83</v>
      </c>
      <c r="E27" s="11" t="s">
        <v>39</v>
      </c>
    </row>
    <row r="28" customFormat="false" ht="15" hidden="false" customHeight="false" outlineLevel="0" collapsed="false">
      <c r="A28" s="14" t="s">
        <v>3</v>
      </c>
      <c r="B28" s="11" t="s">
        <v>20</v>
      </c>
      <c r="C28" s="15" t="s">
        <v>84</v>
      </c>
      <c r="D28" s="15" t="s">
        <v>85</v>
      </c>
      <c r="E28" s="11" t="s">
        <v>39</v>
      </c>
    </row>
    <row r="29" customFormat="false" ht="15" hidden="false" customHeight="false" outlineLevel="0" collapsed="false">
      <c r="A29" s="14" t="s">
        <v>3</v>
      </c>
      <c r="B29" s="11" t="s">
        <v>20</v>
      </c>
      <c r="C29" s="15" t="s">
        <v>84</v>
      </c>
      <c r="D29" s="15" t="s">
        <v>86</v>
      </c>
      <c r="E29" s="15"/>
    </row>
    <row r="30" customFormat="false" ht="15" hidden="false" customHeight="false" outlineLevel="0" collapsed="false">
      <c r="A30" s="14" t="s">
        <v>3</v>
      </c>
      <c r="B30" s="11" t="s">
        <v>20</v>
      </c>
      <c r="C30" s="15" t="s">
        <v>84</v>
      </c>
      <c r="D30" s="15" t="s">
        <v>87</v>
      </c>
      <c r="E30" s="15"/>
    </row>
    <row r="31" customFormat="false" ht="15" hidden="false" customHeight="false" outlineLevel="0" collapsed="false">
      <c r="A31" s="14" t="s">
        <v>3</v>
      </c>
      <c r="B31" s="11" t="s">
        <v>20</v>
      </c>
      <c r="C31" s="15" t="s">
        <v>84</v>
      </c>
      <c r="D31" s="15" t="s">
        <v>88</v>
      </c>
      <c r="E31" s="15"/>
    </row>
    <row r="32" customFormat="false" ht="15" hidden="false" customHeight="false" outlineLevel="0" collapsed="false">
      <c r="A32" s="14" t="s">
        <v>3</v>
      </c>
      <c r="B32" s="11" t="s">
        <v>20</v>
      </c>
      <c r="C32" s="15" t="s">
        <v>89</v>
      </c>
      <c r="D32" s="15" t="s">
        <v>90</v>
      </c>
      <c r="E32" s="11" t="s">
        <v>39</v>
      </c>
    </row>
    <row r="33" customFormat="false" ht="15" hidden="false" customHeight="false" outlineLevel="0" collapsed="false">
      <c r="A33" s="14" t="s">
        <v>3</v>
      </c>
      <c r="B33" s="11" t="s">
        <v>20</v>
      </c>
      <c r="C33" s="15" t="s">
        <v>89</v>
      </c>
      <c r="D33" s="15" t="s">
        <v>91</v>
      </c>
      <c r="E33" s="15"/>
    </row>
    <row r="34" customFormat="false" ht="15" hidden="false" customHeight="false" outlineLevel="0" collapsed="false">
      <c r="A34" s="14" t="s">
        <v>3</v>
      </c>
      <c r="B34" s="11" t="s">
        <v>20</v>
      </c>
      <c r="C34" s="15" t="s">
        <v>89</v>
      </c>
      <c r="D34" s="15" t="s">
        <v>92</v>
      </c>
      <c r="E34" s="15"/>
    </row>
    <row r="35" customFormat="false" ht="15" hidden="false" customHeight="false" outlineLevel="0" collapsed="false">
      <c r="A35" s="14" t="s">
        <v>3</v>
      </c>
      <c r="B35" s="11" t="s">
        <v>19</v>
      </c>
      <c r="C35" s="15" t="s">
        <v>93</v>
      </c>
      <c r="D35" s="15" t="s">
        <v>94</v>
      </c>
      <c r="E35" s="11" t="s">
        <v>39</v>
      </c>
    </row>
    <row r="36" customFormat="false" ht="15" hidden="false" customHeight="false" outlineLevel="0" collapsed="false">
      <c r="A36" s="14" t="s">
        <v>3</v>
      </c>
      <c r="B36" s="11" t="s">
        <v>30</v>
      </c>
      <c r="C36" s="15" t="s">
        <v>95</v>
      </c>
      <c r="D36" s="15" t="s">
        <v>96</v>
      </c>
      <c r="E36" s="11" t="s">
        <v>39</v>
      </c>
    </row>
    <row r="37" customFormat="false" ht="15" hidden="false" customHeight="false" outlineLevel="0" collapsed="false">
      <c r="A37" s="14" t="s">
        <v>3</v>
      </c>
      <c r="B37" s="11" t="s">
        <v>30</v>
      </c>
      <c r="C37" s="15" t="s">
        <v>97</v>
      </c>
      <c r="D37" s="15" t="s">
        <v>98</v>
      </c>
      <c r="E37" s="11" t="s">
        <v>39</v>
      </c>
    </row>
    <row r="38" customFormat="false" ht="15" hidden="false" customHeight="false" outlineLevel="0" collapsed="false">
      <c r="A38" s="14" t="s">
        <v>3</v>
      </c>
      <c r="B38" s="11" t="s">
        <v>25</v>
      </c>
      <c r="C38" s="15" t="s">
        <v>99</v>
      </c>
      <c r="D38" s="15" t="s">
        <v>100</v>
      </c>
      <c r="E38" s="11" t="s">
        <v>39</v>
      </c>
    </row>
    <row r="39" customFormat="false" ht="15" hidden="false" customHeight="false" outlineLevel="0" collapsed="false">
      <c r="A39" s="14" t="s">
        <v>3</v>
      </c>
      <c r="B39" s="11" t="s">
        <v>25</v>
      </c>
      <c r="C39" s="15" t="s">
        <v>99</v>
      </c>
      <c r="D39" s="15" t="s">
        <v>101</v>
      </c>
      <c r="E39" s="15"/>
    </row>
    <row r="40" customFormat="false" ht="15" hidden="false" customHeight="false" outlineLevel="0" collapsed="false">
      <c r="A40" s="14" t="s">
        <v>3</v>
      </c>
      <c r="B40" s="11" t="s">
        <v>25</v>
      </c>
      <c r="C40" s="15" t="s">
        <v>102</v>
      </c>
      <c r="D40" s="15" t="s">
        <v>103</v>
      </c>
      <c r="E40" s="11" t="s">
        <v>39</v>
      </c>
    </row>
    <row r="41" customFormat="false" ht="15" hidden="false" customHeight="false" outlineLevel="0" collapsed="false">
      <c r="A41" s="14" t="s">
        <v>3</v>
      </c>
      <c r="B41" s="11" t="s">
        <v>25</v>
      </c>
      <c r="C41" s="15" t="s">
        <v>104</v>
      </c>
      <c r="D41" s="15" t="s">
        <v>105</v>
      </c>
      <c r="E41" s="11" t="s">
        <v>39</v>
      </c>
    </row>
    <row r="42" customFormat="false" ht="15" hidden="false" customHeight="false" outlineLevel="0" collapsed="false">
      <c r="A42" s="14" t="s">
        <v>3</v>
      </c>
      <c r="B42" s="11" t="s">
        <v>25</v>
      </c>
      <c r="C42" s="15" t="s">
        <v>104</v>
      </c>
      <c r="D42" s="15" t="s">
        <v>106</v>
      </c>
      <c r="E42" s="15"/>
    </row>
    <row r="43" customFormat="false" ht="15" hidden="false" customHeight="false" outlineLevel="0" collapsed="false">
      <c r="A43" s="16" t="s">
        <v>5</v>
      </c>
      <c r="B43" s="11" t="s">
        <v>14</v>
      </c>
      <c r="C43" s="15" t="s">
        <v>107</v>
      </c>
      <c r="D43" s="15" t="s">
        <v>108</v>
      </c>
      <c r="E43" s="11" t="s">
        <v>39</v>
      </c>
    </row>
    <row r="44" customFormat="false" ht="15" hidden="false" customHeight="false" outlineLevel="0" collapsed="false">
      <c r="A44" s="16" t="s">
        <v>5</v>
      </c>
      <c r="B44" s="11" t="s">
        <v>14</v>
      </c>
      <c r="C44" s="15" t="s">
        <v>109</v>
      </c>
      <c r="D44" s="15" t="s">
        <v>110</v>
      </c>
      <c r="E44" s="11" t="s">
        <v>39</v>
      </c>
    </row>
    <row r="45" customFormat="false" ht="15" hidden="false" customHeight="false" outlineLevel="0" collapsed="false">
      <c r="A45" s="16" t="s">
        <v>5</v>
      </c>
      <c r="B45" s="11" t="s">
        <v>14</v>
      </c>
      <c r="C45" s="15" t="s">
        <v>111</v>
      </c>
      <c r="D45" s="15" t="s">
        <v>112</v>
      </c>
      <c r="E45" s="11" t="s">
        <v>39</v>
      </c>
    </row>
    <row r="46" customFormat="false" ht="15" hidden="false" customHeight="false" outlineLevel="0" collapsed="false">
      <c r="A46" s="16" t="s">
        <v>5</v>
      </c>
      <c r="B46" s="11" t="s">
        <v>17</v>
      </c>
      <c r="C46" s="15" t="s">
        <v>113</v>
      </c>
      <c r="D46" s="15" t="s">
        <v>114</v>
      </c>
      <c r="E46" s="11" t="s">
        <v>39</v>
      </c>
    </row>
    <row r="47" customFormat="false" ht="15" hidden="false" customHeight="false" outlineLevel="0" collapsed="false">
      <c r="A47" s="16" t="s">
        <v>5</v>
      </c>
      <c r="B47" s="11" t="s">
        <v>22</v>
      </c>
      <c r="C47" s="15" t="s">
        <v>115</v>
      </c>
      <c r="D47" s="15" t="s">
        <v>116</v>
      </c>
      <c r="E47" s="11" t="s">
        <v>39</v>
      </c>
    </row>
    <row r="48" customFormat="false" ht="15" hidden="false" customHeight="false" outlineLevel="0" collapsed="false">
      <c r="A48" s="16" t="s">
        <v>5</v>
      </c>
      <c r="B48" s="11" t="s">
        <v>22</v>
      </c>
      <c r="C48" s="15" t="s">
        <v>117</v>
      </c>
      <c r="D48" s="15" t="s">
        <v>118</v>
      </c>
      <c r="E48" s="11" t="s">
        <v>39</v>
      </c>
    </row>
    <row r="49" customFormat="false" ht="15" hidden="false" customHeight="false" outlineLevel="0" collapsed="false">
      <c r="A49" s="16" t="s">
        <v>5</v>
      </c>
      <c r="B49" s="11" t="s">
        <v>22</v>
      </c>
      <c r="C49" s="15" t="s">
        <v>117</v>
      </c>
      <c r="D49" s="15" t="s">
        <v>119</v>
      </c>
      <c r="E49" s="15"/>
    </row>
    <row r="50" customFormat="false" ht="15" hidden="false" customHeight="false" outlineLevel="0" collapsed="false">
      <c r="A50" s="16" t="s">
        <v>5</v>
      </c>
      <c r="B50" s="11" t="s">
        <v>22</v>
      </c>
      <c r="C50" s="15" t="s">
        <v>120</v>
      </c>
      <c r="D50" s="15" t="s">
        <v>121</v>
      </c>
      <c r="E50" s="11" t="s">
        <v>39</v>
      </c>
    </row>
    <row r="51" customFormat="false" ht="15" hidden="false" customHeight="false" outlineLevel="0" collapsed="false">
      <c r="A51" s="16" t="s">
        <v>5</v>
      </c>
      <c r="B51" s="11" t="s">
        <v>13</v>
      </c>
      <c r="C51" s="15" t="s">
        <v>122</v>
      </c>
      <c r="D51" s="15" t="s">
        <v>123</v>
      </c>
      <c r="E51" s="11" t="s">
        <v>39</v>
      </c>
    </row>
    <row r="52" customFormat="false" ht="15" hidden="false" customHeight="false" outlineLevel="0" collapsed="false">
      <c r="A52" s="16" t="s">
        <v>5</v>
      </c>
      <c r="B52" s="11" t="s">
        <v>13</v>
      </c>
      <c r="C52" s="15" t="s">
        <v>124</v>
      </c>
      <c r="D52" s="15" t="s">
        <v>125</v>
      </c>
      <c r="E52" s="11" t="s">
        <v>39</v>
      </c>
    </row>
    <row r="53" customFormat="false" ht="15" hidden="false" customHeight="false" outlineLevel="0" collapsed="false">
      <c r="A53" s="16" t="s">
        <v>5</v>
      </c>
      <c r="B53" s="11" t="s">
        <v>13</v>
      </c>
      <c r="C53" s="15" t="s">
        <v>124</v>
      </c>
      <c r="D53" s="15" t="s">
        <v>126</v>
      </c>
      <c r="E53" s="15"/>
    </row>
    <row r="54" customFormat="false" ht="15" hidden="false" customHeight="false" outlineLevel="0" collapsed="false">
      <c r="A54" s="16" t="s">
        <v>5</v>
      </c>
      <c r="B54" s="11" t="s">
        <v>13</v>
      </c>
      <c r="C54" s="15" t="s">
        <v>127</v>
      </c>
      <c r="D54" s="15" t="s">
        <v>128</v>
      </c>
      <c r="E54" s="11" t="s">
        <v>39</v>
      </c>
    </row>
    <row r="55" customFormat="false" ht="15" hidden="false" customHeight="false" outlineLevel="0" collapsed="false">
      <c r="A55" s="16" t="s">
        <v>5</v>
      </c>
      <c r="B55" s="11" t="s">
        <v>13</v>
      </c>
      <c r="C55" s="15" t="s">
        <v>129</v>
      </c>
      <c r="D55" s="15" t="s">
        <v>130</v>
      </c>
      <c r="E55" s="11" t="s">
        <v>39</v>
      </c>
    </row>
    <row r="56" customFormat="false" ht="15" hidden="false" customHeight="false" outlineLevel="0" collapsed="false">
      <c r="A56" s="16" t="s">
        <v>5</v>
      </c>
      <c r="B56" s="11" t="s">
        <v>13</v>
      </c>
      <c r="C56" s="15" t="s">
        <v>131</v>
      </c>
      <c r="D56" s="15" t="s">
        <v>132</v>
      </c>
      <c r="E56" s="11" t="s">
        <v>39</v>
      </c>
    </row>
    <row r="57" customFormat="false" ht="15" hidden="false" customHeight="false" outlineLevel="0" collapsed="false">
      <c r="A57" s="16" t="s">
        <v>5</v>
      </c>
      <c r="B57" s="11" t="s">
        <v>23</v>
      </c>
      <c r="C57" s="15" t="s">
        <v>133</v>
      </c>
      <c r="D57" s="15" t="s">
        <v>134</v>
      </c>
      <c r="E57" s="11" t="s">
        <v>39</v>
      </c>
    </row>
    <row r="58" customFormat="false" ht="15" hidden="false" customHeight="false" outlineLevel="0" collapsed="false">
      <c r="A58" s="16" t="s">
        <v>5</v>
      </c>
      <c r="B58" s="11" t="s">
        <v>23</v>
      </c>
      <c r="C58" s="15" t="s">
        <v>135</v>
      </c>
      <c r="D58" s="15" t="s">
        <v>136</v>
      </c>
      <c r="E58" s="11" t="s">
        <v>39</v>
      </c>
    </row>
    <row r="59" customFormat="false" ht="15" hidden="false" customHeight="false" outlineLevel="0" collapsed="false">
      <c r="A59" s="16" t="s">
        <v>5</v>
      </c>
      <c r="B59" s="11" t="s">
        <v>23</v>
      </c>
      <c r="C59" s="15" t="s">
        <v>137</v>
      </c>
      <c r="D59" s="15" t="s">
        <v>138</v>
      </c>
      <c r="E59" s="11" t="s">
        <v>39</v>
      </c>
    </row>
    <row r="60" customFormat="false" ht="15" hidden="false" customHeight="false" outlineLevel="0" collapsed="false">
      <c r="A60" s="16" t="s">
        <v>5</v>
      </c>
      <c r="B60" s="11" t="s">
        <v>23</v>
      </c>
      <c r="C60" s="15" t="s">
        <v>139</v>
      </c>
      <c r="D60" s="15" t="s">
        <v>140</v>
      </c>
      <c r="E60" s="11" t="s">
        <v>39</v>
      </c>
    </row>
    <row r="61" customFormat="false" ht="15" hidden="false" customHeight="false" outlineLevel="0" collapsed="false">
      <c r="A61" s="16" t="s">
        <v>5</v>
      </c>
      <c r="B61" s="11" t="s">
        <v>23</v>
      </c>
      <c r="C61" s="15" t="s">
        <v>139</v>
      </c>
      <c r="D61" s="15" t="s">
        <v>141</v>
      </c>
      <c r="E61" s="15"/>
    </row>
    <row r="62" customFormat="false" ht="15" hidden="false" customHeight="false" outlineLevel="0" collapsed="false">
      <c r="A62" s="16" t="s">
        <v>5</v>
      </c>
      <c r="B62" s="11" t="s">
        <v>23</v>
      </c>
      <c r="C62" s="15" t="s">
        <v>142</v>
      </c>
      <c r="D62" s="15" t="s">
        <v>143</v>
      </c>
      <c r="E62" s="11" t="s">
        <v>39</v>
      </c>
    </row>
    <row r="63" customFormat="false" ht="15" hidden="false" customHeight="false" outlineLevel="0" collapsed="false">
      <c r="A63" s="16" t="s">
        <v>5</v>
      </c>
      <c r="B63" s="11" t="s">
        <v>23</v>
      </c>
      <c r="C63" s="15" t="s">
        <v>142</v>
      </c>
      <c r="D63" s="15" t="s">
        <v>144</v>
      </c>
      <c r="E63" s="15"/>
    </row>
    <row r="64" customFormat="false" ht="15" hidden="false" customHeight="false" outlineLevel="0" collapsed="false">
      <c r="A64" s="16" t="s">
        <v>5</v>
      </c>
      <c r="B64" s="11" t="s">
        <v>27</v>
      </c>
      <c r="C64" s="15" t="s">
        <v>145</v>
      </c>
      <c r="D64" s="15" t="s">
        <v>146</v>
      </c>
      <c r="E64" s="11" t="s">
        <v>39</v>
      </c>
    </row>
    <row r="65" customFormat="false" ht="15" hidden="false" customHeight="false" outlineLevel="0" collapsed="false">
      <c r="A65" s="16" t="s">
        <v>5</v>
      </c>
      <c r="B65" s="11" t="s">
        <v>27</v>
      </c>
      <c r="C65" s="15" t="s">
        <v>147</v>
      </c>
      <c r="D65" s="15" t="s">
        <v>148</v>
      </c>
      <c r="E65" s="11" t="s">
        <v>39</v>
      </c>
    </row>
    <row r="66" customFormat="false" ht="15" hidden="false" customHeight="false" outlineLevel="0" collapsed="false">
      <c r="A66" s="16" t="s">
        <v>5</v>
      </c>
      <c r="B66" s="11" t="s">
        <v>28</v>
      </c>
      <c r="C66" s="15" t="s">
        <v>149</v>
      </c>
      <c r="D66" s="15" t="s">
        <v>150</v>
      </c>
      <c r="E66" s="11" t="s">
        <v>39</v>
      </c>
    </row>
    <row r="67" customFormat="false" ht="15" hidden="false" customHeight="false" outlineLevel="0" collapsed="false">
      <c r="A67" s="16" t="s">
        <v>5</v>
      </c>
      <c r="B67" s="11" t="s">
        <v>28</v>
      </c>
      <c r="C67" s="15" t="s">
        <v>151</v>
      </c>
      <c r="D67" s="15" t="s">
        <v>152</v>
      </c>
      <c r="E67" s="11" t="s">
        <v>39</v>
      </c>
    </row>
    <row r="68" customFormat="false" ht="15" hidden="false" customHeight="false" outlineLevel="0" collapsed="false">
      <c r="A68" s="16" t="s">
        <v>5</v>
      </c>
      <c r="B68" s="11" t="s">
        <v>28</v>
      </c>
      <c r="C68" s="15" t="s">
        <v>153</v>
      </c>
      <c r="D68" s="15" t="s">
        <v>154</v>
      </c>
      <c r="E68" s="11" t="s">
        <v>39</v>
      </c>
    </row>
    <row r="69" customFormat="false" ht="15" hidden="false" customHeight="false" outlineLevel="0" collapsed="false">
      <c r="A69" s="16" t="s">
        <v>5</v>
      </c>
      <c r="B69" s="11" t="s">
        <v>28</v>
      </c>
      <c r="C69" s="15" t="s">
        <v>153</v>
      </c>
      <c r="D69" s="15" t="s">
        <v>155</v>
      </c>
      <c r="E69" s="15"/>
    </row>
    <row r="70" customFormat="false" ht="15" hidden="false" customHeight="false" outlineLevel="0" collapsed="false">
      <c r="A70" s="16" t="s">
        <v>5</v>
      </c>
      <c r="B70" s="11" t="s">
        <v>28</v>
      </c>
      <c r="C70" s="15" t="s">
        <v>156</v>
      </c>
      <c r="D70" s="15" t="s">
        <v>157</v>
      </c>
      <c r="E70" s="11" t="s">
        <v>39</v>
      </c>
    </row>
    <row r="71" customFormat="false" ht="15" hidden="false" customHeight="false" outlineLevel="0" collapsed="false">
      <c r="A71" s="16" t="s">
        <v>5</v>
      </c>
      <c r="B71" s="11" t="s">
        <v>28</v>
      </c>
      <c r="C71" s="15" t="s">
        <v>158</v>
      </c>
      <c r="D71" s="15" t="s">
        <v>159</v>
      </c>
      <c r="E71" s="11" t="s">
        <v>39</v>
      </c>
    </row>
    <row r="72" customFormat="false" ht="15" hidden="false" customHeight="false" outlineLevel="0" collapsed="false">
      <c r="A72" s="16" t="s">
        <v>5</v>
      </c>
      <c r="B72" s="11" t="s">
        <v>21</v>
      </c>
      <c r="C72" s="15" t="s">
        <v>160</v>
      </c>
      <c r="D72" s="15" t="s">
        <v>161</v>
      </c>
      <c r="E72" s="11" t="s">
        <v>39</v>
      </c>
    </row>
    <row r="73" customFormat="false" ht="15" hidden="false" customHeight="false" outlineLevel="0" collapsed="false">
      <c r="A73" s="16" t="s">
        <v>5</v>
      </c>
      <c r="B73" s="11" t="s">
        <v>21</v>
      </c>
      <c r="C73" s="15" t="s">
        <v>162</v>
      </c>
      <c r="D73" s="15" t="s">
        <v>163</v>
      </c>
      <c r="E73" s="11" t="s">
        <v>39</v>
      </c>
    </row>
    <row r="74" customFormat="false" ht="15" hidden="false" customHeight="false" outlineLevel="0" collapsed="false">
      <c r="A74" s="16" t="s">
        <v>5</v>
      </c>
      <c r="B74" s="11" t="s">
        <v>15</v>
      </c>
      <c r="C74" s="15" t="s">
        <v>164</v>
      </c>
      <c r="D74" s="15" t="s">
        <v>165</v>
      </c>
      <c r="E74" s="11" t="s">
        <v>39</v>
      </c>
    </row>
    <row r="75" customFormat="false" ht="15" hidden="false" customHeight="false" outlineLevel="0" collapsed="false">
      <c r="A75" s="16" t="s">
        <v>5</v>
      </c>
      <c r="B75" s="11" t="s">
        <v>15</v>
      </c>
      <c r="C75" s="15" t="s">
        <v>166</v>
      </c>
      <c r="D75" s="15" t="s">
        <v>167</v>
      </c>
      <c r="E75" s="11" t="s">
        <v>39</v>
      </c>
    </row>
    <row r="76" customFormat="false" ht="15" hidden="false" customHeight="false" outlineLevel="0" collapsed="false">
      <c r="A76" s="16" t="s">
        <v>5</v>
      </c>
      <c r="B76" s="11" t="s">
        <v>16</v>
      </c>
      <c r="C76" s="15" t="s">
        <v>168</v>
      </c>
      <c r="D76" s="15" t="s">
        <v>169</v>
      </c>
      <c r="E76" s="11" t="s">
        <v>39</v>
      </c>
    </row>
    <row r="77" customFormat="false" ht="15" hidden="false" customHeight="false" outlineLevel="0" collapsed="false">
      <c r="A77" s="16" t="s">
        <v>5</v>
      </c>
      <c r="B77" s="11" t="s">
        <v>16</v>
      </c>
      <c r="C77" s="15" t="s">
        <v>170</v>
      </c>
      <c r="D77" s="15" t="s">
        <v>171</v>
      </c>
      <c r="E77" s="11" t="s">
        <v>39</v>
      </c>
    </row>
    <row r="78" customFormat="false" ht="15" hidden="false" customHeight="false" outlineLevel="0" collapsed="false">
      <c r="A78" s="16" t="s">
        <v>5</v>
      </c>
      <c r="B78" s="11" t="s">
        <v>29</v>
      </c>
      <c r="C78" s="15" t="s">
        <v>172</v>
      </c>
      <c r="D78" s="15" t="s">
        <v>173</v>
      </c>
      <c r="E78" s="11" t="s">
        <v>39</v>
      </c>
    </row>
    <row r="79" customFormat="false" ht="15" hidden="false" customHeight="false" outlineLevel="0" collapsed="false">
      <c r="A79" s="16" t="s">
        <v>5</v>
      </c>
      <c r="B79" s="11" t="s">
        <v>26</v>
      </c>
      <c r="C79" s="15" t="s">
        <v>174</v>
      </c>
      <c r="D79" s="15" t="s">
        <v>175</v>
      </c>
      <c r="E79" s="11" t="s">
        <v>39</v>
      </c>
    </row>
    <row r="80" customFormat="false" ht="15" hidden="false" customHeight="false" outlineLevel="0" collapsed="false">
      <c r="A80" s="16" t="s">
        <v>5</v>
      </c>
      <c r="B80" s="11" t="s">
        <v>26</v>
      </c>
      <c r="C80" s="15" t="s">
        <v>176</v>
      </c>
      <c r="D80" s="15" t="s">
        <v>177</v>
      </c>
      <c r="E80" s="11" t="s">
        <v>39</v>
      </c>
    </row>
    <row r="81" customFormat="false" ht="15" hidden="false" customHeight="false" outlineLevel="0" collapsed="false">
      <c r="A81" s="16" t="s">
        <v>5</v>
      </c>
      <c r="B81" s="11" t="s">
        <v>18</v>
      </c>
      <c r="C81" s="15" t="s">
        <v>178</v>
      </c>
      <c r="D81" s="15" t="s">
        <v>179</v>
      </c>
      <c r="E81" s="11" t="s">
        <v>39</v>
      </c>
    </row>
    <row r="82" customFormat="false" ht="15" hidden="false" customHeight="false" outlineLevel="0" collapsed="false">
      <c r="A82" s="16" t="s">
        <v>5</v>
      </c>
      <c r="B82" s="11" t="s">
        <v>20</v>
      </c>
      <c r="C82" s="15" t="s">
        <v>180</v>
      </c>
      <c r="D82" s="15" t="s">
        <v>181</v>
      </c>
      <c r="E82" s="11" t="s">
        <v>39</v>
      </c>
    </row>
    <row r="83" customFormat="false" ht="15" hidden="false" customHeight="false" outlineLevel="0" collapsed="false">
      <c r="A83" s="16" t="s">
        <v>5</v>
      </c>
      <c r="B83" s="11" t="s">
        <v>20</v>
      </c>
      <c r="C83" s="15" t="s">
        <v>182</v>
      </c>
      <c r="D83" s="15" t="s">
        <v>183</v>
      </c>
      <c r="E83" s="11" t="s">
        <v>39</v>
      </c>
    </row>
    <row r="84" customFormat="false" ht="15" hidden="false" customHeight="false" outlineLevel="0" collapsed="false">
      <c r="A84" s="16" t="s">
        <v>5</v>
      </c>
      <c r="B84" s="11" t="s">
        <v>20</v>
      </c>
      <c r="C84" s="15" t="s">
        <v>182</v>
      </c>
      <c r="D84" s="15" t="s">
        <v>184</v>
      </c>
      <c r="E84" s="15"/>
    </row>
    <row r="85" customFormat="false" ht="15" hidden="false" customHeight="false" outlineLevel="0" collapsed="false">
      <c r="A85" s="16" t="s">
        <v>5</v>
      </c>
      <c r="B85" s="11" t="s">
        <v>20</v>
      </c>
      <c r="C85" s="15" t="s">
        <v>182</v>
      </c>
      <c r="D85" s="15" t="s">
        <v>185</v>
      </c>
      <c r="E85" s="15"/>
    </row>
    <row r="86" customFormat="false" ht="15" hidden="false" customHeight="false" outlineLevel="0" collapsed="false">
      <c r="A86" s="16" t="s">
        <v>5</v>
      </c>
      <c r="B86" s="11" t="s">
        <v>20</v>
      </c>
      <c r="C86" s="15" t="s">
        <v>186</v>
      </c>
      <c r="D86" s="15" t="s">
        <v>187</v>
      </c>
      <c r="E86" s="11" t="s">
        <v>39</v>
      </c>
    </row>
    <row r="87" customFormat="false" ht="15" hidden="false" customHeight="false" outlineLevel="0" collapsed="false">
      <c r="A87" s="16" t="s">
        <v>5</v>
      </c>
      <c r="B87" s="11" t="s">
        <v>20</v>
      </c>
      <c r="C87" s="15" t="s">
        <v>186</v>
      </c>
      <c r="D87" s="15" t="s">
        <v>188</v>
      </c>
      <c r="E87" s="15"/>
    </row>
    <row r="88" customFormat="false" ht="15" hidden="false" customHeight="false" outlineLevel="0" collapsed="false">
      <c r="A88" s="16" t="s">
        <v>5</v>
      </c>
      <c r="B88" s="11" t="s">
        <v>20</v>
      </c>
      <c r="C88" s="15" t="s">
        <v>189</v>
      </c>
      <c r="D88" s="15" t="s">
        <v>190</v>
      </c>
      <c r="E88" s="11" t="s">
        <v>39</v>
      </c>
    </row>
    <row r="89" customFormat="false" ht="15" hidden="false" customHeight="false" outlineLevel="0" collapsed="false">
      <c r="A89" s="16" t="s">
        <v>5</v>
      </c>
      <c r="B89" s="11" t="s">
        <v>20</v>
      </c>
      <c r="C89" s="15" t="s">
        <v>189</v>
      </c>
      <c r="D89" s="15" t="s">
        <v>191</v>
      </c>
      <c r="E89" s="15"/>
    </row>
    <row r="90" customFormat="false" ht="15" hidden="false" customHeight="false" outlineLevel="0" collapsed="false">
      <c r="A90" s="16" t="s">
        <v>5</v>
      </c>
      <c r="B90" s="11" t="s">
        <v>20</v>
      </c>
      <c r="C90" s="15" t="s">
        <v>189</v>
      </c>
      <c r="D90" s="15" t="s">
        <v>192</v>
      </c>
      <c r="E90" s="15"/>
    </row>
    <row r="91" customFormat="false" ht="15" hidden="false" customHeight="false" outlineLevel="0" collapsed="false">
      <c r="A91" s="16" t="s">
        <v>5</v>
      </c>
      <c r="B91" s="11" t="s">
        <v>19</v>
      </c>
      <c r="C91" s="15" t="s">
        <v>193</v>
      </c>
      <c r="D91" s="15" t="s">
        <v>194</v>
      </c>
      <c r="E91" s="11" t="s">
        <v>39</v>
      </c>
    </row>
    <row r="92" customFormat="false" ht="15" hidden="false" customHeight="false" outlineLevel="0" collapsed="false">
      <c r="A92" s="16" t="s">
        <v>5</v>
      </c>
      <c r="B92" s="11" t="s">
        <v>19</v>
      </c>
      <c r="C92" s="15" t="s">
        <v>193</v>
      </c>
      <c r="D92" s="15" t="s">
        <v>195</v>
      </c>
      <c r="E92" s="15"/>
    </row>
    <row r="93" customFormat="false" ht="15" hidden="false" customHeight="false" outlineLevel="0" collapsed="false">
      <c r="A93" s="16" t="s">
        <v>5</v>
      </c>
      <c r="B93" s="11" t="s">
        <v>19</v>
      </c>
      <c r="C93" s="15" t="s">
        <v>196</v>
      </c>
      <c r="D93" s="15" t="s">
        <v>197</v>
      </c>
      <c r="E93" s="11" t="s">
        <v>39</v>
      </c>
    </row>
    <row r="94" customFormat="false" ht="15" hidden="false" customHeight="false" outlineLevel="0" collapsed="false">
      <c r="A94" s="16" t="s">
        <v>5</v>
      </c>
      <c r="B94" s="11" t="s">
        <v>19</v>
      </c>
      <c r="C94" s="15" t="s">
        <v>196</v>
      </c>
      <c r="D94" s="15" t="s">
        <v>198</v>
      </c>
      <c r="E94" s="15"/>
    </row>
    <row r="95" customFormat="false" ht="15" hidden="false" customHeight="false" outlineLevel="0" collapsed="false">
      <c r="A95" s="16" t="s">
        <v>5</v>
      </c>
      <c r="B95" s="11" t="s">
        <v>25</v>
      </c>
      <c r="C95" s="15" t="s">
        <v>199</v>
      </c>
      <c r="D95" s="15" t="s">
        <v>200</v>
      </c>
      <c r="E95" s="11" t="s">
        <v>39</v>
      </c>
    </row>
    <row r="96" customFormat="false" ht="15" hidden="false" customHeight="false" outlineLevel="0" collapsed="false">
      <c r="A96" s="16" t="s">
        <v>5</v>
      </c>
      <c r="B96" s="11" t="s">
        <v>25</v>
      </c>
      <c r="C96" s="15" t="s">
        <v>201</v>
      </c>
      <c r="D96" s="15" t="s">
        <v>202</v>
      </c>
      <c r="E96" s="11" t="s">
        <v>39</v>
      </c>
    </row>
    <row r="97" customFormat="false" ht="15" hidden="false" customHeight="false" outlineLevel="0" collapsed="false">
      <c r="A97" s="16" t="s">
        <v>5</v>
      </c>
      <c r="B97" s="11" t="s">
        <v>25</v>
      </c>
      <c r="C97" s="15" t="s">
        <v>203</v>
      </c>
      <c r="D97" s="15" t="s">
        <v>204</v>
      </c>
      <c r="E97" s="11" t="s">
        <v>39</v>
      </c>
    </row>
    <row r="98" customFormat="false" ht="15" hidden="false" customHeight="false" outlineLevel="0" collapsed="false">
      <c r="A98" s="16" t="s">
        <v>5</v>
      </c>
      <c r="B98" s="11" t="s">
        <v>24</v>
      </c>
      <c r="C98" s="15" t="s">
        <v>205</v>
      </c>
      <c r="D98" s="15" t="s">
        <v>206</v>
      </c>
      <c r="E98" s="11" t="s">
        <v>39</v>
      </c>
    </row>
    <row r="99" customFormat="false" ht="15" hidden="false" customHeight="false" outlineLevel="0" collapsed="false">
      <c r="A99" s="16" t="s">
        <v>5</v>
      </c>
      <c r="B99" s="11" t="s">
        <v>24</v>
      </c>
      <c r="C99" s="15" t="s">
        <v>205</v>
      </c>
      <c r="D99" s="15" t="s">
        <v>207</v>
      </c>
      <c r="E99" s="15"/>
    </row>
    <row r="100" customFormat="false" ht="15" hidden="false" customHeight="false" outlineLevel="0" collapsed="false">
      <c r="A100" s="17" t="s">
        <v>7</v>
      </c>
      <c r="B100" s="11" t="s">
        <v>14</v>
      </c>
      <c r="C100" s="15" t="s">
        <v>208</v>
      </c>
      <c r="D100" s="15" t="s">
        <v>209</v>
      </c>
      <c r="E100" s="11" t="s">
        <v>39</v>
      </c>
    </row>
    <row r="101" customFormat="false" ht="15" hidden="false" customHeight="false" outlineLevel="0" collapsed="false">
      <c r="A101" s="17" t="s">
        <v>7</v>
      </c>
      <c r="B101" s="11" t="s">
        <v>17</v>
      </c>
      <c r="C101" s="15" t="s">
        <v>210</v>
      </c>
      <c r="D101" s="15" t="s">
        <v>211</v>
      </c>
      <c r="E101" s="11" t="s">
        <v>39</v>
      </c>
    </row>
    <row r="102" customFormat="false" ht="15" hidden="false" customHeight="false" outlineLevel="0" collapsed="false">
      <c r="A102" s="17" t="s">
        <v>7</v>
      </c>
      <c r="B102" s="11" t="s">
        <v>13</v>
      </c>
      <c r="C102" s="15" t="s">
        <v>212</v>
      </c>
      <c r="D102" s="15" t="s">
        <v>213</v>
      </c>
      <c r="E102" s="11" t="s">
        <v>39</v>
      </c>
    </row>
    <row r="103" customFormat="false" ht="15" hidden="false" customHeight="false" outlineLevel="0" collapsed="false">
      <c r="A103" s="17" t="s">
        <v>7</v>
      </c>
      <c r="B103" s="11" t="s">
        <v>13</v>
      </c>
      <c r="C103" s="15" t="s">
        <v>214</v>
      </c>
      <c r="D103" s="15" t="s">
        <v>215</v>
      </c>
      <c r="E103" s="11" t="s">
        <v>39</v>
      </c>
    </row>
    <row r="104" customFormat="false" ht="15" hidden="false" customHeight="false" outlineLevel="0" collapsed="false">
      <c r="A104" s="17" t="s">
        <v>7</v>
      </c>
      <c r="B104" s="11" t="s">
        <v>13</v>
      </c>
      <c r="C104" s="15" t="s">
        <v>214</v>
      </c>
      <c r="D104" s="15" t="s">
        <v>216</v>
      </c>
      <c r="E104" s="15"/>
    </row>
    <row r="105" customFormat="false" ht="15" hidden="false" customHeight="false" outlineLevel="0" collapsed="false">
      <c r="A105" s="17" t="s">
        <v>7</v>
      </c>
      <c r="B105" s="11" t="s">
        <v>13</v>
      </c>
      <c r="C105" s="15" t="s">
        <v>217</v>
      </c>
      <c r="D105" s="15" t="s">
        <v>218</v>
      </c>
      <c r="E105" s="11" t="s">
        <v>39</v>
      </c>
    </row>
    <row r="106" customFormat="false" ht="15" hidden="false" customHeight="false" outlineLevel="0" collapsed="false">
      <c r="A106" s="17" t="s">
        <v>7</v>
      </c>
      <c r="B106" s="11" t="s">
        <v>13</v>
      </c>
      <c r="C106" s="15" t="s">
        <v>219</v>
      </c>
      <c r="D106" s="15" t="s">
        <v>220</v>
      </c>
      <c r="E106" s="11" t="s">
        <v>39</v>
      </c>
    </row>
    <row r="107" customFormat="false" ht="15" hidden="false" customHeight="false" outlineLevel="0" collapsed="false">
      <c r="A107" s="17" t="s">
        <v>7</v>
      </c>
      <c r="B107" s="11" t="s">
        <v>13</v>
      </c>
      <c r="C107" s="15" t="s">
        <v>219</v>
      </c>
      <c r="D107" s="15" t="s">
        <v>221</v>
      </c>
      <c r="E107" s="15"/>
    </row>
    <row r="108" customFormat="false" ht="15" hidden="false" customHeight="false" outlineLevel="0" collapsed="false">
      <c r="A108" s="17" t="s">
        <v>7</v>
      </c>
      <c r="B108" s="11" t="s">
        <v>23</v>
      </c>
      <c r="C108" s="15" t="s">
        <v>222</v>
      </c>
      <c r="D108" s="15" t="s">
        <v>223</v>
      </c>
      <c r="E108" s="11" t="s">
        <v>39</v>
      </c>
    </row>
    <row r="109" customFormat="false" ht="15" hidden="false" customHeight="false" outlineLevel="0" collapsed="false">
      <c r="A109" s="17" t="s">
        <v>7</v>
      </c>
      <c r="B109" s="11" t="s">
        <v>23</v>
      </c>
      <c r="C109" s="15" t="s">
        <v>222</v>
      </c>
      <c r="D109" s="15" t="s">
        <v>224</v>
      </c>
      <c r="E109" s="15"/>
    </row>
    <row r="110" customFormat="false" ht="15" hidden="false" customHeight="false" outlineLevel="0" collapsed="false">
      <c r="A110" s="17" t="s">
        <v>7</v>
      </c>
      <c r="B110" s="11" t="s">
        <v>23</v>
      </c>
      <c r="C110" s="15" t="s">
        <v>222</v>
      </c>
      <c r="D110" s="15" t="s">
        <v>225</v>
      </c>
      <c r="E110" s="15"/>
    </row>
    <row r="111" customFormat="false" ht="15" hidden="false" customHeight="false" outlineLevel="0" collapsed="false">
      <c r="A111" s="17" t="s">
        <v>7</v>
      </c>
      <c r="B111" s="11" t="s">
        <v>27</v>
      </c>
      <c r="C111" s="15" t="s">
        <v>226</v>
      </c>
      <c r="D111" s="15" t="s">
        <v>227</v>
      </c>
      <c r="E111" s="11" t="s">
        <v>39</v>
      </c>
    </row>
    <row r="112" customFormat="false" ht="15" hidden="false" customHeight="false" outlineLevel="0" collapsed="false">
      <c r="A112" s="17" t="s">
        <v>7</v>
      </c>
      <c r="B112" s="11" t="s">
        <v>27</v>
      </c>
      <c r="C112" s="15" t="s">
        <v>226</v>
      </c>
      <c r="D112" s="15" t="s">
        <v>228</v>
      </c>
      <c r="E112" s="15"/>
    </row>
    <row r="113" customFormat="false" ht="15" hidden="false" customHeight="false" outlineLevel="0" collapsed="false">
      <c r="A113" s="17" t="s">
        <v>7</v>
      </c>
      <c r="B113" s="11" t="s">
        <v>28</v>
      </c>
      <c r="C113" s="15" t="s">
        <v>229</v>
      </c>
      <c r="D113" s="15" t="s">
        <v>230</v>
      </c>
      <c r="E113" s="11" t="s">
        <v>39</v>
      </c>
    </row>
    <row r="114" customFormat="false" ht="15" hidden="false" customHeight="false" outlineLevel="0" collapsed="false">
      <c r="A114" s="17" t="s">
        <v>7</v>
      </c>
      <c r="B114" s="11" t="s">
        <v>28</v>
      </c>
      <c r="C114" s="15" t="s">
        <v>231</v>
      </c>
      <c r="D114" s="15" t="s">
        <v>232</v>
      </c>
      <c r="E114" s="11" t="s">
        <v>39</v>
      </c>
    </row>
    <row r="115" customFormat="false" ht="15" hidden="false" customHeight="false" outlineLevel="0" collapsed="false">
      <c r="A115" s="17" t="s">
        <v>7</v>
      </c>
      <c r="B115" s="11" t="s">
        <v>28</v>
      </c>
      <c r="C115" s="15" t="s">
        <v>233</v>
      </c>
      <c r="D115" s="15" t="s">
        <v>234</v>
      </c>
      <c r="E115" s="11" t="s">
        <v>39</v>
      </c>
    </row>
    <row r="116" customFormat="false" ht="15" hidden="false" customHeight="false" outlineLevel="0" collapsed="false">
      <c r="A116" s="17" t="s">
        <v>7</v>
      </c>
      <c r="B116" s="11" t="s">
        <v>21</v>
      </c>
      <c r="C116" s="15" t="s">
        <v>235</v>
      </c>
      <c r="D116" s="15" t="s">
        <v>236</v>
      </c>
      <c r="E116" s="11" t="s">
        <v>39</v>
      </c>
    </row>
    <row r="117" customFormat="false" ht="15" hidden="false" customHeight="false" outlineLevel="0" collapsed="false">
      <c r="A117" s="17" t="s">
        <v>7</v>
      </c>
      <c r="B117" s="11" t="s">
        <v>21</v>
      </c>
      <c r="C117" s="15" t="s">
        <v>237</v>
      </c>
      <c r="D117" s="15" t="s">
        <v>238</v>
      </c>
      <c r="E117" s="11" t="s">
        <v>39</v>
      </c>
    </row>
    <row r="118" customFormat="false" ht="15" hidden="false" customHeight="false" outlineLevel="0" collapsed="false">
      <c r="A118" s="17" t="s">
        <v>7</v>
      </c>
      <c r="B118" s="11" t="s">
        <v>21</v>
      </c>
      <c r="C118" s="15" t="s">
        <v>239</v>
      </c>
      <c r="D118" s="15" t="s">
        <v>240</v>
      </c>
      <c r="E118" s="11" t="s">
        <v>39</v>
      </c>
    </row>
    <row r="119" customFormat="false" ht="15" hidden="false" customHeight="false" outlineLevel="0" collapsed="false">
      <c r="A119" s="17" t="s">
        <v>7</v>
      </c>
      <c r="B119" s="11" t="s">
        <v>16</v>
      </c>
      <c r="C119" s="15" t="s">
        <v>241</v>
      </c>
      <c r="D119" s="15" t="s">
        <v>242</v>
      </c>
      <c r="E119" s="11" t="s">
        <v>39</v>
      </c>
    </row>
    <row r="120" customFormat="false" ht="15" hidden="false" customHeight="false" outlineLevel="0" collapsed="false">
      <c r="A120" s="17" t="s">
        <v>7</v>
      </c>
      <c r="B120" s="11" t="s">
        <v>16</v>
      </c>
      <c r="C120" s="15" t="s">
        <v>241</v>
      </c>
      <c r="D120" s="15" t="s">
        <v>243</v>
      </c>
      <c r="E120" s="15"/>
    </row>
    <row r="121" customFormat="false" ht="15" hidden="false" customHeight="false" outlineLevel="0" collapsed="false">
      <c r="A121" s="17" t="s">
        <v>7</v>
      </c>
      <c r="B121" s="11" t="s">
        <v>16</v>
      </c>
      <c r="C121" s="15" t="s">
        <v>241</v>
      </c>
      <c r="D121" s="15" t="s">
        <v>244</v>
      </c>
      <c r="E121" s="15"/>
    </row>
    <row r="122" customFormat="false" ht="15" hidden="false" customHeight="false" outlineLevel="0" collapsed="false">
      <c r="A122" s="17" t="s">
        <v>7</v>
      </c>
      <c r="B122" s="11" t="s">
        <v>29</v>
      </c>
      <c r="C122" s="15" t="s">
        <v>245</v>
      </c>
      <c r="D122" s="15" t="s">
        <v>246</v>
      </c>
      <c r="E122" s="11" t="s">
        <v>39</v>
      </c>
    </row>
    <row r="123" customFormat="false" ht="15" hidden="false" customHeight="false" outlineLevel="0" collapsed="false">
      <c r="A123" s="17" t="s">
        <v>7</v>
      </c>
      <c r="B123" s="11" t="s">
        <v>29</v>
      </c>
      <c r="C123" s="15" t="s">
        <v>247</v>
      </c>
      <c r="D123" s="15" t="s">
        <v>248</v>
      </c>
      <c r="E123" s="11" t="s">
        <v>39</v>
      </c>
    </row>
    <row r="124" customFormat="false" ht="15" hidden="false" customHeight="false" outlineLevel="0" collapsed="false">
      <c r="A124" s="17" t="s">
        <v>7</v>
      </c>
      <c r="B124" s="11" t="s">
        <v>26</v>
      </c>
      <c r="C124" s="15" t="s">
        <v>249</v>
      </c>
      <c r="D124" s="15" t="s">
        <v>250</v>
      </c>
      <c r="E124" s="11" t="s">
        <v>39</v>
      </c>
    </row>
    <row r="125" customFormat="false" ht="15" hidden="false" customHeight="false" outlineLevel="0" collapsed="false">
      <c r="A125" s="17" t="s">
        <v>7</v>
      </c>
      <c r="B125" s="11" t="s">
        <v>26</v>
      </c>
      <c r="C125" s="15" t="s">
        <v>249</v>
      </c>
      <c r="D125" s="15" t="s">
        <v>251</v>
      </c>
      <c r="E125" s="15"/>
    </row>
    <row r="126" customFormat="false" ht="15" hidden="false" customHeight="false" outlineLevel="0" collapsed="false">
      <c r="A126" s="17" t="s">
        <v>7</v>
      </c>
      <c r="B126" s="11" t="s">
        <v>26</v>
      </c>
      <c r="C126" s="15" t="s">
        <v>252</v>
      </c>
      <c r="D126" s="15" t="s">
        <v>253</v>
      </c>
      <c r="E126" s="11" t="s">
        <v>39</v>
      </c>
    </row>
    <row r="127" customFormat="false" ht="15" hidden="false" customHeight="false" outlineLevel="0" collapsed="false">
      <c r="A127" s="17" t="s">
        <v>7</v>
      </c>
      <c r="B127" s="11" t="s">
        <v>26</v>
      </c>
      <c r="C127" s="15" t="s">
        <v>254</v>
      </c>
      <c r="D127" s="15" t="s">
        <v>255</v>
      </c>
      <c r="E127" s="11" t="s">
        <v>39</v>
      </c>
    </row>
    <row r="128" customFormat="false" ht="15" hidden="false" customHeight="false" outlineLevel="0" collapsed="false">
      <c r="A128" s="17" t="s">
        <v>7</v>
      </c>
      <c r="B128" s="11" t="s">
        <v>18</v>
      </c>
      <c r="C128" s="15" t="s">
        <v>256</v>
      </c>
      <c r="D128" s="15" t="s">
        <v>257</v>
      </c>
      <c r="E128" s="11" t="s">
        <v>39</v>
      </c>
    </row>
    <row r="129" customFormat="false" ht="15" hidden="false" customHeight="false" outlineLevel="0" collapsed="false">
      <c r="A129" s="17" t="s">
        <v>7</v>
      </c>
      <c r="B129" s="11" t="s">
        <v>18</v>
      </c>
      <c r="C129" s="15" t="s">
        <v>256</v>
      </c>
      <c r="D129" s="15" t="s">
        <v>258</v>
      </c>
      <c r="E129" s="15"/>
    </row>
    <row r="130" customFormat="false" ht="15" hidden="false" customHeight="false" outlineLevel="0" collapsed="false">
      <c r="A130" s="17" t="s">
        <v>7</v>
      </c>
      <c r="B130" s="11" t="s">
        <v>20</v>
      </c>
      <c r="C130" s="15" t="s">
        <v>259</v>
      </c>
      <c r="D130" s="15" t="s">
        <v>260</v>
      </c>
      <c r="E130" s="11" t="s">
        <v>39</v>
      </c>
    </row>
    <row r="131" customFormat="false" ht="15" hidden="false" customHeight="false" outlineLevel="0" collapsed="false">
      <c r="A131" s="17" t="s">
        <v>7</v>
      </c>
      <c r="B131" s="11" t="s">
        <v>20</v>
      </c>
      <c r="C131" s="15" t="s">
        <v>259</v>
      </c>
      <c r="D131" s="15" t="s">
        <v>261</v>
      </c>
      <c r="E131" s="15"/>
    </row>
    <row r="132" customFormat="false" ht="15" hidden="false" customHeight="false" outlineLevel="0" collapsed="false">
      <c r="A132" s="17" t="s">
        <v>7</v>
      </c>
      <c r="B132" s="11" t="s">
        <v>20</v>
      </c>
      <c r="C132" s="15" t="s">
        <v>259</v>
      </c>
      <c r="D132" s="15" t="s">
        <v>262</v>
      </c>
      <c r="E132" s="15"/>
    </row>
    <row r="133" customFormat="false" ht="15" hidden="false" customHeight="false" outlineLevel="0" collapsed="false">
      <c r="A133" s="17" t="s">
        <v>7</v>
      </c>
      <c r="B133" s="11" t="s">
        <v>19</v>
      </c>
      <c r="C133" s="15" t="s">
        <v>263</v>
      </c>
      <c r="D133" s="15" t="s">
        <v>264</v>
      </c>
      <c r="E133" s="11" t="s">
        <v>39</v>
      </c>
    </row>
    <row r="134" customFormat="false" ht="15" hidden="false" customHeight="false" outlineLevel="0" collapsed="false">
      <c r="A134" s="17" t="s">
        <v>7</v>
      </c>
      <c r="B134" s="11" t="s">
        <v>19</v>
      </c>
      <c r="C134" s="15" t="s">
        <v>265</v>
      </c>
      <c r="D134" s="15" t="s">
        <v>261</v>
      </c>
      <c r="E134" s="11" t="s">
        <v>39</v>
      </c>
    </row>
    <row r="135" customFormat="false" ht="15" hidden="false" customHeight="false" outlineLevel="0" collapsed="false">
      <c r="A135" s="17" t="s">
        <v>7</v>
      </c>
      <c r="B135" s="11" t="s">
        <v>30</v>
      </c>
      <c r="C135" s="15" t="s">
        <v>266</v>
      </c>
      <c r="D135" s="15" t="s">
        <v>267</v>
      </c>
      <c r="E135" s="11" t="s">
        <v>39</v>
      </c>
    </row>
    <row r="136" customFormat="false" ht="15" hidden="false" customHeight="false" outlineLevel="0" collapsed="false">
      <c r="A136" s="17" t="s">
        <v>7</v>
      </c>
      <c r="B136" s="11" t="s">
        <v>30</v>
      </c>
      <c r="C136" s="15" t="s">
        <v>266</v>
      </c>
      <c r="D136" s="15" t="s">
        <v>268</v>
      </c>
      <c r="E136" s="15"/>
    </row>
    <row r="137" customFormat="false" ht="15" hidden="false" customHeight="false" outlineLevel="0" collapsed="false">
      <c r="A137" s="17" t="s">
        <v>7</v>
      </c>
      <c r="B137" s="11" t="s">
        <v>30</v>
      </c>
      <c r="C137" s="15" t="s">
        <v>269</v>
      </c>
      <c r="D137" s="15" t="s">
        <v>270</v>
      </c>
      <c r="E137" s="11" t="s">
        <v>39</v>
      </c>
    </row>
    <row r="138" customFormat="false" ht="15" hidden="false" customHeight="false" outlineLevel="0" collapsed="false">
      <c r="A138" s="17" t="s">
        <v>7</v>
      </c>
      <c r="B138" s="11" t="s">
        <v>25</v>
      </c>
      <c r="C138" s="15" t="s">
        <v>271</v>
      </c>
      <c r="D138" s="15" t="s">
        <v>272</v>
      </c>
      <c r="E138" s="11" t="s">
        <v>39</v>
      </c>
    </row>
    <row r="139" customFormat="false" ht="15" hidden="false" customHeight="false" outlineLevel="0" collapsed="false">
      <c r="A139" s="17" t="s">
        <v>7</v>
      </c>
      <c r="B139" s="11" t="s">
        <v>24</v>
      </c>
      <c r="C139" s="15" t="s">
        <v>273</v>
      </c>
      <c r="D139" s="15" t="s">
        <v>274</v>
      </c>
      <c r="E139" s="11" t="s">
        <v>39</v>
      </c>
    </row>
    <row r="140" customFormat="false" ht="15" hidden="false" customHeight="false" outlineLevel="0" collapsed="false">
      <c r="A140" s="17" t="s">
        <v>7</v>
      </c>
      <c r="B140" s="11" t="s">
        <v>24</v>
      </c>
      <c r="C140" s="15" t="s">
        <v>275</v>
      </c>
      <c r="D140" s="15" t="s">
        <v>276</v>
      </c>
      <c r="E140" s="11" t="s">
        <v>39</v>
      </c>
    </row>
  </sheetData>
  <autoFilter ref="A1:E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34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44"/>
    <col collapsed="false" customWidth="true" hidden="false" outlineLevel="0" max="15" min="15" style="0" width="40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19" min="19" style="0" width="30"/>
  </cols>
  <sheetData>
    <row r="1" customFormat="false" ht="26.85" hidden="false" customHeight="false" outlineLevel="0" collapsed="false">
      <c r="A1" s="18" t="s">
        <v>277</v>
      </c>
      <c r="B1" s="19" t="s">
        <v>33</v>
      </c>
      <c r="C1" s="19" t="s">
        <v>10</v>
      </c>
      <c r="D1" s="19" t="s">
        <v>34</v>
      </c>
      <c r="E1" s="19" t="s">
        <v>278</v>
      </c>
      <c r="F1" s="19" t="s">
        <v>279</v>
      </c>
      <c r="G1" s="19" t="s">
        <v>35</v>
      </c>
      <c r="H1" s="19" t="s">
        <v>280</v>
      </c>
      <c r="I1" s="19" t="s">
        <v>281</v>
      </c>
      <c r="J1" s="19" t="s">
        <v>282</v>
      </c>
      <c r="K1" s="19" t="s">
        <v>283</v>
      </c>
      <c r="L1" s="19" t="s">
        <v>284</v>
      </c>
      <c r="M1" s="18" t="s">
        <v>285</v>
      </c>
      <c r="N1" s="19" t="s">
        <v>286</v>
      </c>
      <c r="O1" s="19" t="s">
        <v>287</v>
      </c>
      <c r="P1" s="19" t="s">
        <v>288</v>
      </c>
      <c r="Q1" s="19" t="s">
        <v>289</v>
      </c>
      <c r="R1" s="19" t="s">
        <v>290</v>
      </c>
      <c r="S1" s="19" t="s">
        <v>291</v>
      </c>
    </row>
    <row r="2" customFormat="false" ht="26.85" hidden="false" customHeight="false" outlineLevel="0" collapsed="false">
      <c r="A2" s="20" t="n">
        <v>1</v>
      </c>
      <c r="B2" s="21" t="s">
        <v>3</v>
      </c>
      <c r="C2" s="22" t="s">
        <v>13</v>
      </c>
      <c r="D2" s="20" t="s">
        <v>45</v>
      </c>
      <c r="E2" s="20" t="s">
        <v>292</v>
      </c>
      <c r="F2" s="20" t="s">
        <v>293</v>
      </c>
      <c r="G2" s="23" t="s">
        <v>46</v>
      </c>
      <c r="H2" s="20" t="s">
        <v>294</v>
      </c>
      <c r="I2" s="22" t="s">
        <v>295</v>
      </c>
      <c r="J2" s="20"/>
      <c r="K2" s="20" t="s">
        <v>296</v>
      </c>
      <c r="L2" s="22" t="s">
        <v>297</v>
      </c>
      <c r="M2" s="22" t="s">
        <v>298</v>
      </c>
      <c r="N2" s="20" t="s">
        <v>299</v>
      </c>
      <c r="O2" s="20" t="s">
        <v>300</v>
      </c>
      <c r="P2" s="24"/>
      <c r="Q2" s="24"/>
      <c r="R2" s="24"/>
      <c r="S2" s="24"/>
    </row>
    <row r="3" customFormat="false" ht="26.85" hidden="false" customHeight="false" outlineLevel="0" collapsed="false">
      <c r="A3" s="20" t="n">
        <v>2</v>
      </c>
      <c r="B3" s="21" t="s">
        <v>3</v>
      </c>
      <c r="C3" s="22" t="s">
        <v>13</v>
      </c>
      <c r="D3" s="20" t="s">
        <v>47</v>
      </c>
      <c r="E3" s="20" t="s">
        <v>301</v>
      </c>
      <c r="F3" s="20" t="s">
        <v>302</v>
      </c>
      <c r="G3" s="23" t="s">
        <v>48</v>
      </c>
      <c r="H3" s="20" t="s">
        <v>303</v>
      </c>
      <c r="I3" s="22" t="s">
        <v>295</v>
      </c>
      <c r="J3" s="20"/>
      <c r="K3" s="22" t="s">
        <v>304</v>
      </c>
      <c r="L3" s="22" t="s">
        <v>305</v>
      </c>
      <c r="M3" s="22" t="s">
        <v>298</v>
      </c>
      <c r="N3" s="22" t="s">
        <v>306</v>
      </c>
      <c r="O3" s="20" t="s">
        <v>307</v>
      </c>
      <c r="P3" s="24"/>
      <c r="Q3" s="24"/>
      <c r="R3" s="24"/>
      <c r="S3" s="24"/>
    </row>
    <row r="4" customFormat="false" ht="26.85" hidden="false" customHeight="false" outlineLevel="0" collapsed="false">
      <c r="A4" s="20" t="n">
        <v>3</v>
      </c>
      <c r="B4" s="21" t="s">
        <v>3</v>
      </c>
      <c r="C4" s="22" t="s">
        <v>13</v>
      </c>
      <c r="D4" s="20" t="s">
        <v>49</v>
      </c>
      <c r="E4" s="20" t="s">
        <v>308</v>
      </c>
      <c r="F4" s="20" t="s">
        <v>309</v>
      </c>
      <c r="G4" s="23" t="s">
        <v>50</v>
      </c>
      <c r="H4" s="20" t="s">
        <v>310</v>
      </c>
      <c r="I4" s="22" t="s">
        <v>295</v>
      </c>
      <c r="J4" s="20"/>
      <c r="K4" s="22" t="s">
        <v>311</v>
      </c>
      <c r="L4" s="22" t="s">
        <v>312</v>
      </c>
      <c r="M4" s="22" t="s">
        <v>313</v>
      </c>
      <c r="N4" s="22" t="s">
        <v>314</v>
      </c>
      <c r="O4" s="20" t="s">
        <v>315</v>
      </c>
      <c r="P4" s="24"/>
      <c r="Q4" s="24"/>
      <c r="R4" s="24"/>
      <c r="S4" s="24"/>
    </row>
    <row r="5" customFormat="false" ht="15" hidden="false" customHeight="false" outlineLevel="0" collapsed="false">
      <c r="A5" s="20" t="n">
        <v>4</v>
      </c>
      <c r="B5" s="25" t="s">
        <v>5</v>
      </c>
      <c r="C5" s="22" t="s">
        <v>13</v>
      </c>
      <c r="D5" s="20" t="s">
        <v>122</v>
      </c>
      <c r="E5" s="20" t="s">
        <v>316</v>
      </c>
      <c r="F5" s="20" t="s">
        <v>317</v>
      </c>
      <c r="G5" s="23" t="s">
        <v>123</v>
      </c>
      <c r="H5" s="20" t="s">
        <v>318</v>
      </c>
      <c r="I5" s="22" t="s">
        <v>295</v>
      </c>
      <c r="J5" s="20"/>
      <c r="K5" s="20" t="s">
        <v>319</v>
      </c>
      <c r="L5" s="20" t="s">
        <v>320</v>
      </c>
      <c r="M5" s="22" t="s">
        <v>313</v>
      </c>
      <c r="N5" s="20" t="s">
        <v>321</v>
      </c>
      <c r="O5" s="20" t="s">
        <v>322</v>
      </c>
      <c r="P5" s="24"/>
      <c r="Q5" s="24"/>
      <c r="R5" s="24"/>
      <c r="S5" s="24"/>
    </row>
    <row r="6" customFormat="false" ht="26.85" hidden="false" customHeight="false" outlineLevel="0" collapsed="false">
      <c r="A6" s="20" t="n">
        <v>5</v>
      </c>
      <c r="B6" s="25" t="s">
        <v>5</v>
      </c>
      <c r="C6" s="22" t="s">
        <v>13</v>
      </c>
      <c r="D6" s="20" t="s">
        <v>124</v>
      </c>
      <c r="E6" s="20" t="s">
        <v>323</v>
      </c>
      <c r="F6" s="20" t="s">
        <v>324</v>
      </c>
      <c r="G6" s="23" t="s">
        <v>325</v>
      </c>
      <c r="H6" s="20"/>
      <c r="I6" s="22" t="s">
        <v>295</v>
      </c>
      <c r="J6" s="20"/>
      <c r="K6" s="20" t="s">
        <v>326</v>
      </c>
      <c r="L6" s="22" t="s">
        <v>327</v>
      </c>
      <c r="M6" s="22" t="s">
        <v>328</v>
      </c>
      <c r="N6" s="22" t="s">
        <v>329</v>
      </c>
      <c r="O6" s="20" t="s">
        <v>330</v>
      </c>
      <c r="P6" s="24"/>
      <c r="Q6" s="24"/>
      <c r="R6" s="24"/>
      <c r="S6" s="24"/>
    </row>
    <row r="7" customFormat="false" ht="23.85" hidden="false" customHeight="false" outlineLevel="0" collapsed="false">
      <c r="A7" s="20" t="n">
        <v>6</v>
      </c>
      <c r="B7" s="25" t="s">
        <v>5</v>
      </c>
      <c r="C7" s="22" t="s">
        <v>13</v>
      </c>
      <c r="D7" s="20" t="s">
        <v>127</v>
      </c>
      <c r="E7" s="20" t="s">
        <v>331</v>
      </c>
      <c r="F7" s="20" t="s">
        <v>332</v>
      </c>
      <c r="G7" s="23" t="s">
        <v>128</v>
      </c>
      <c r="H7" s="20" t="s">
        <v>333</v>
      </c>
      <c r="I7" s="22" t="s">
        <v>295</v>
      </c>
      <c r="J7" s="20"/>
      <c r="K7" s="20" t="s">
        <v>334</v>
      </c>
      <c r="L7" s="22" t="s">
        <v>335</v>
      </c>
      <c r="M7" s="22" t="s">
        <v>328</v>
      </c>
      <c r="N7" s="20" t="s">
        <v>336</v>
      </c>
      <c r="O7" s="20" t="s">
        <v>337</v>
      </c>
      <c r="P7" s="24"/>
      <c r="Q7" s="24"/>
      <c r="R7" s="24"/>
      <c r="S7" s="24"/>
    </row>
    <row r="8" customFormat="false" ht="25.35" hidden="false" customHeight="false" outlineLevel="0" collapsed="false">
      <c r="A8" s="20" t="n">
        <v>7</v>
      </c>
      <c r="B8" s="25" t="s">
        <v>5</v>
      </c>
      <c r="C8" s="22" t="s">
        <v>13</v>
      </c>
      <c r="D8" s="20" t="s">
        <v>129</v>
      </c>
      <c r="E8" s="20" t="s">
        <v>338</v>
      </c>
      <c r="F8" s="20" t="s">
        <v>339</v>
      </c>
      <c r="G8" s="23" t="s">
        <v>130</v>
      </c>
      <c r="H8" s="20" t="s">
        <v>340</v>
      </c>
      <c r="I8" s="20" t="s">
        <v>341</v>
      </c>
      <c r="J8" s="20"/>
      <c r="K8" s="20" t="s">
        <v>342</v>
      </c>
      <c r="L8" s="22" t="s">
        <v>343</v>
      </c>
      <c r="M8" s="22" t="s">
        <v>328</v>
      </c>
      <c r="N8" s="22" t="s">
        <v>344</v>
      </c>
      <c r="O8" s="20" t="s">
        <v>345</v>
      </c>
      <c r="P8" s="24"/>
      <c r="Q8" s="24"/>
      <c r="R8" s="24"/>
      <c r="S8" s="24"/>
    </row>
    <row r="9" customFormat="false" ht="23.85" hidden="false" customHeight="false" outlineLevel="0" collapsed="false">
      <c r="A9" s="20" t="n">
        <v>8</v>
      </c>
      <c r="B9" s="25" t="s">
        <v>5</v>
      </c>
      <c r="C9" s="22" t="s">
        <v>13</v>
      </c>
      <c r="D9" s="20" t="s">
        <v>131</v>
      </c>
      <c r="E9" s="20" t="s">
        <v>346</v>
      </c>
      <c r="F9" s="20"/>
      <c r="G9" s="23" t="s">
        <v>132</v>
      </c>
      <c r="H9" s="20" t="s">
        <v>347</v>
      </c>
      <c r="I9" s="22" t="s">
        <v>295</v>
      </c>
      <c r="J9" s="20"/>
      <c r="K9" s="22" t="s">
        <v>348</v>
      </c>
      <c r="L9" s="22" t="s">
        <v>349</v>
      </c>
      <c r="M9" s="22" t="s">
        <v>328</v>
      </c>
      <c r="N9" s="22" t="s">
        <v>350</v>
      </c>
      <c r="O9" s="20" t="s">
        <v>351</v>
      </c>
      <c r="P9" s="24"/>
      <c r="Q9" s="24"/>
      <c r="R9" s="24"/>
      <c r="S9" s="24"/>
    </row>
    <row r="10" customFormat="false" ht="23.85" hidden="false" customHeight="false" outlineLevel="0" collapsed="false">
      <c r="A10" s="20" t="n">
        <v>9</v>
      </c>
      <c r="B10" s="26" t="s">
        <v>7</v>
      </c>
      <c r="C10" s="22" t="s">
        <v>13</v>
      </c>
      <c r="D10" s="20" t="s">
        <v>212</v>
      </c>
      <c r="E10" s="20" t="s">
        <v>352</v>
      </c>
      <c r="F10" s="20" t="s">
        <v>353</v>
      </c>
      <c r="G10" s="23" t="s">
        <v>213</v>
      </c>
      <c r="H10" s="20" t="s">
        <v>354</v>
      </c>
      <c r="I10" s="22" t="s">
        <v>295</v>
      </c>
      <c r="J10" s="20"/>
      <c r="K10" s="20" t="s">
        <v>355</v>
      </c>
      <c r="L10" s="22" t="s">
        <v>343</v>
      </c>
      <c r="M10" s="22" t="s">
        <v>356</v>
      </c>
      <c r="N10" s="20" t="s">
        <v>357</v>
      </c>
      <c r="O10" s="20" t="s">
        <v>358</v>
      </c>
      <c r="P10" s="24"/>
      <c r="Q10" s="24"/>
      <c r="R10" s="24"/>
      <c r="S10" s="24"/>
    </row>
    <row r="11" customFormat="false" ht="23.85" hidden="false" customHeight="false" outlineLevel="0" collapsed="false">
      <c r="A11" s="20" t="n">
        <v>10</v>
      </c>
      <c r="B11" s="26" t="s">
        <v>7</v>
      </c>
      <c r="C11" s="22" t="s">
        <v>13</v>
      </c>
      <c r="D11" s="20" t="s">
        <v>214</v>
      </c>
      <c r="E11" s="20" t="s">
        <v>359</v>
      </c>
      <c r="F11" s="20" t="s">
        <v>360</v>
      </c>
      <c r="G11" s="23" t="s">
        <v>361</v>
      </c>
      <c r="H11" s="20" t="s">
        <v>362</v>
      </c>
      <c r="I11" s="20" t="s">
        <v>363</v>
      </c>
      <c r="J11" s="20" t="s">
        <v>364</v>
      </c>
      <c r="K11" s="20" t="s">
        <v>365</v>
      </c>
      <c r="L11" s="22" t="s">
        <v>343</v>
      </c>
      <c r="M11" s="22" t="s">
        <v>356</v>
      </c>
      <c r="N11" s="20" t="s">
        <v>366</v>
      </c>
      <c r="O11" s="20" t="s">
        <v>367</v>
      </c>
      <c r="P11" s="24"/>
      <c r="Q11" s="24"/>
      <c r="R11" s="24"/>
      <c r="S11" s="24"/>
    </row>
    <row r="12" customFormat="false" ht="15" hidden="false" customHeight="false" outlineLevel="0" collapsed="false">
      <c r="A12" s="20" t="n">
        <v>11</v>
      </c>
      <c r="B12" s="26" t="s">
        <v>7</v>
      </c>
      <c r="C12" s="22" t="s">
        <v>13</v>
      </c>
      <c r="D12" s="20" t="s">
        <v>217</v>
      </c>
      <c r="E12" s="20" t="s">
        <v>368</v>
      </c>
      <c r="F12" s="20" t="s">
        <v>369</v>
      </c>
      <c r="G12" s="23" t="s">
        <v>218</v>
      </c>
      <c r="H12" s="20" t="s">
        <v>370</v>
      </c>
      <c r="I12" s="22" t="s">
        <v>295</v>
      </c>
      <c r="J12" s="20"/>
      <c r="K12" s="22" t="s">
        <v>371</v>
      </c>
      <c r="L12" s="22" t="s">
        <v>372</v>
      </c>
      <c r="M12" s="22" t="s">
        <v>356</v>
      </c>
      <c r="N12" s="22" t="s">
        <v>373</v>
      </c>
      <c r="O12" s="20" t="s">
        <v>374</v>
      </c>
      <c r="P12" s="24"/>
      <c r="Q12" s="24"/>
      <c r="R12" s="24"/>
      <c r="S12" s="24"/>
    </row>
    <row r="13" customFormat="false" ht="26.85" hidden="false" customHeight="false" outlineLevel="0" collapsed="false">
      <c r="A13" s="20" t="n">
        <v>12</v>
      </c>
      <c r="B13" s="21" t="s">
        <v>3</v>
      </c>
      <c r="C13" s="22" t="s">
        <v>14</v>
      </c>
      <c r="D13" s="20" t="s">
        <v>37</v>
      </c>
      <c r="E13" s="20" t="s">
        <v>375</v>
      </c>
      <c r="F13" s="20" t="s">
        <v>376</v>
      </c>
      <c r="G13" s="23" t="s">
        <v>38</v>
      </c>
      <c r="H13" s="20" t="s">
        <v>377</v>
      </c>
      <c r="I13" s="22" t="s">
        <v>295</v>
      </c>
      <c r="J13" s="20"/>
      <c r="K13" s="20" t="s">
        <v>378</v>
      </c>
      <c r="L13" s="22" t="s">
        <v>379</v>
      </c>
      <c r="M13" s="22" t="s">
        <v>298</v>
      </c>
      <c r="N13" s="20" t="s">
        <v>380</v>
      </c>
      <c r="O13" s="20" t="s">
        <v>381</v>
      </c>
      <c r="P13" s="24"/>
      <c r="Q13" s="24"/>
      <c r="R13" s="24"/>
      <c r="S13" s="24"/>
    </row>
    <row r="14" customFormat="false" ht="15" hidden="false" customHeight="false" outlineLevel="0" collapsed="false">
      <c r="A14" s="20" t="n">
        <v>13</v>
      </c>
      <c r="B14" s="25" t="s">
        <v>5</v>
      </c>
      <c r="C14" s="22" t="s">
        <v>14</v>
      </c>
      <c r="D14" s="20" t="s">
        <v>107</v>
      </c>
      <c r="E14" s="20" t="s">
        <v>382</v>
      </c>
      <c r="F14" s="20" t="s">
        <v>383</v>
      </c>
      <c r="G14" s="23" t="s">
        <v>108</v>
      </c>
      <c r="H14" s="20" t="s">
        <v>384</v>
      </c>
      <c r="I14" s="22" t="s">
        <v>295</v>
      </c>
      <c r="J14" s="20"/>
      <c r="K14" s="22" t="s">
        <v>385</v>
      </c>
      <c r="L14" s="22" t="s">
        <v>386</v>
      </c>
      <c r="M14" s="22" t="s">
        <v>313</v>
      </c>
      <c r="N14" s="22" t="s">
        <v>387</v>
      </c>
      <c r="O14" s="20" t="s">
        <v>388</v>
      </c>
      <c r="P14" s="24"/>
      <c r="Q14" s="24"/>
      <c r="R14" s="24"/>
      <c r="S14" s="24"/>
    </row>
    <row r="15" customFormat="false" ht="15" hidden="false" customHeight="false" outlineLevel="0" collapsed="false">
      <c r="A15" s="20" t="n">
        <v>14</v>
      </c>
      <c r="B15" s="25" t="s">
        <v>5</v>
      </c>
      <c r="C15" s="22" t="s">
        <v>14</v>
      </c>
      <c r="D15" s="20" t="s">
        <v>109</v>
      </c>
      <c r="E15" s="20" t="s">
        <v>389</v>
      </c>
      <c r="F15" s="20" t="s">
        <v>390</v>
      </c>
      <c r="G15" s="23" t="s">
        <v>110</v>
      </c>
      <c r="H15" s="20" t="s">
        <v>391</v>
      </c>
      <c r="I15" s="20" t="s">
        <v>390</v>
      </c>
      <c r="J15" s="20"/>
      <c r="K15" s="20" t="s">
        <v>392</v>
      </c>
      <c r="L15" s="22" t="s">
        <v>349</v>
      </c>
      <c r="M15" s="22" t="s">
        <v>328</v>
      </c>
      <c r="N15" s="22" t="s">
        <v>393</v>
      </c>
      <c r="O15" s="20" t="s">
        <v>394</v>
      </c>
      <c r="P15" s="24"/>
      <c r="Q15" s="24"/>
      <c r="R15" s="24"/>
      <c r="S15" s="24"/>
    </row>
    <row r="16" customFormat="false" ht="15" hidden="false" customHeight="false" outlineLevel="0" collapsed="false">
      <c r="A16" s="20" t="n">
        <v>15</v>
      </c>
      <c r="B16" s="25" t="s">
        <v>5</v>
      </c>
      <c r="C16" s="22" t="s">
        <v>14</v>
      </c>
      <c r="D16" s="20" t="s">
        <v>111</v>
      </c>
      <c r="E16" s="20" t="s">
        <v>395</v>
      </c>
      <c r="F16" s="20" t="s">
        <v>396</v>
      </c>
      <c r="G16" s="23" t="s">
        <v>112</v>
      </c>
      <c r="H16" s="20" t="s">
        <v>397</v>
      </c>
      <c r="I16" s="22" t="s">
        <v>295</v>
      </c>
      <c r="J16" s="20"/>
      <c r="K16" s="22" t="s">
        <v>398</v>
      </c>
      <c r="L16" s="22" t="s">
        <v>335</v>
      </c>
      <c r="M16" s="22" t="s">
        <v>328</v>
      </c>
      <c r="N16" s="22" t="s">
        <v>399</v>
      </c>
      <c r="O16" s="20" t="s">
        <v>400</v>
      </c>
      <c r="P16" s="24"/>
      <c r="Q16" s="24"/>
      <c r="R16" s="24"/>
      <c r="S16" s="24"/>
    </row>
    <row r="17" customFormat="false" ht="15" hidden="false" customHeight="false" outlineLevel="0" collapsed="false">
      <c r="A17" s="20" t="n">
        <v>16</v>
      </c>
      <c r="B17" s="26" t="s">
        <v>7</v>
      </c>
      <c r="C17" s="22" t="s">
        <v>14</v>
      </c>
      <c r="D17" s="20" t="s">
        <v>208</v>
      </c>
      <c r="E17" s="20" t="s">
        <v>389</v>
      </c>
      <c r="F17" s="20" t="s">
        <v>401</v>
      </c>
      <c r="G17" s="23" t="s">
        <v>209</v>
      </c>
      <c r="H17" s="20" t="s">
        <v>402</v>
      </c>
      <c r="I17" s="22" t="s">
        <v>295</v>
      </c>
      <c r="J17" s="20"/>
      <c r="K17" s="22" t="s">
        <v>403</v>
      </c>
      <c r="L17" s="22" t="s">
        <v>404</v>
      </c>
      <c r="M17" s="22" t="s">
        <v>356</v>
      </c>
      <c r="N17" s="22" t="s">
        <v>405</v>
      </c>
      <c r="O17" s="20" t="s">
        <v>406</v>
      </c>
      <c r="P17" s="24"/>
      <c r="Q17" s="24"/>
      <c r="R17" s="24"/>
      <c r="S17" s="24"/>
    </row>
    <row r="18" customFormat="false" ht="26.85" hidden="false" customHeight="false" outlineLevel="0" collapsed="false">
      <c r="A18" s="20" t="n">
        <v>17</v>
      </c>
      <c r="B18" s="21" t="s">
        <v>3</v>
      </c>
      <c r="C18" s="22" t="s">
        <v>15</v>
      </c>
      <c r="D18" s="20" t="s">
        <v>61</v>
      </c>
      <c r="E18" s="20" t="s">
        <v>407</v>
      </c>
      <c r="F18" s="20" t="s">
        <v>408</v>
      </c>
      <c r="G18" s="23" t="s">
        <v>62</v>
      </c>
      <c r="H18" s="20" t="s">
        <v>409</v>
      </c>
      <c r="I18" s="22" t="s">
        <v>295</v>
      </c>
      <c r="J18" s="20"/>
      <c r="K18" s="20" t="s">
        <v>410</v>
      </c>
      <c r="L18" s="20" t="s">
        <v>320</v>
      </c>
      <c r="M18" s="22" t="s">
        <v>313</v>
      </c>
      <c r="N18" s="22" t="s">
        <v>411</v>
      </c>
      <c r="O18" s="20" t="s">
        <v>412</v>
      </c>
      <c r="P18" s="24"/>
      <c r="Q18" s="24"/>
      <c r="R18" s="24"/>
      <c r="S18" s="24"/>
    </row>
    <row r="19" customFormat="false" ht="26.85" hidden="false" customHeight="false" outlineLevel="0" collapsed="false">
      <c r="A19" s="20" t="n">
        <v>18</v>
      </c>
      <c r="B19" s="25" t="s">
        <v>5</v>
      </c>
      <c r="C19" s="22" t="s">
        <v>15</v>
      </c>
      <c r="D19" s="20" t="s">
        <v>164</v>
      </c>
      <c r="E19" s="20" t="s">
        <v>413</v>
      </c>
      <c r="F19" s="20" t="s">
        <v>414</v>
      </c>
      <c r="G19" s="23" t="s">
        <v>165</v>
      </c>
      <c r="H19" s="20" t="s">
        <v>415</v>
      </c>
      <c r="I19" s="22" t="s">
        <v>295</v>
      </c>
      <c r="J19" s="20"/>
      <c r="K19" s="20" t="s">
        <v>416</v>
      </c>
      <c r="L19" s="22" t="s">
        <v>327</v>
      </c>
      <c r="M19" s="22" t="s">
        <v>328</v>
      </c>
      <c r="N19" s="22" t="s">
        <v>417</v>
      </c>
      <c r="O19" s="20" t="s">
        <v>418</v>
      </c>
      <c r="P19" s="24"/>
      <c r="Q19" s="24"/>
      <c r="R19" s="24"/>
      <c r="S19" s="24"/>
    </row>
    <row r="20" customFormat="false" ht="23.85" hidden="false" customHeight="false" outlineLevel="0" collapsed="false">
      <c r="A20" s="20" t="n">
        <v>19</v>
      </c>
      <c r="B20" s="25" t="s">
        <v>5</v>
      </c>
      <c r="C20" s="22" t="s">
        <v>15</v>
      </c>
      <c r="D20" s="20" t="s">
        <v>166</v>
      </c>
      <c r="E20" s="20" t="s">
        <v>419</v>
      </c>
      <c r="F20" s="20" t="s">
        <v>420</v>
      </c>
      <c r="G20" s="23" t="s">
        <v>167</v>
      </c>
      <c r="H20" s="20" t="s">
        <v>421</v>
      </c>
      <c r="I20" s="20" t="s">
        <v>422</v>
      </c>
      <c r="J20" s="20" t="s">
        <v>423</v>
      </c>
      <c r="K20" s="20" t="s">
        <v>424</v>
      </c>
      <c r="L20" s="22" t="s">
        <v>343</v>
      </c>
      <c r="M20" s="22" t="s">
        <v>328</v>
      </c>
      <c r="N20" s="22" t="s">
        <v>425</v>
      </c>
      <c r="O20" s="20" t="s">
        <v>426</v>
      </c>
      <c r="P20" s="24"/>
      <c r="Q20" s="24"/>
      <c r="R20" s="24"/>
      <c r="S20" s="24"/>
    </row>
    <row r="21" customFormat="false" ht="23.85" hidden="false" customHeight="false" outlineLevel="0" collapsed="false">
      <c r="A21" s="20" t="n">
        <v>20</v>
      </c>
      <c r="B21" s="21" t="s">
        <v>3</v>
      </c>
      <c r="C21" s="22" t="s">
        <v>16</v>
      </c>
      <c r="D21" s="20" t="s">
        <v>63</v>
      </c>
      <c r="E21" s="20" t="s">
        <v>427</v>
      </c>
      <c r="F21" s="20" t="s">
        <v>428</v>
      </c>
      <c r="G21" s="23" t="s">
        <v>64</v>
      </c>
      <c r="H21" s="20" t="s">
        <v>429</v>
      </c>
      <c r="I21" s="22" t="s">
        <v>295</v>
      </c>
      <c r="J21" s="20"/>
      <c r="K21" s="20" t="s">
        <v>430</v>
      </c>
      <c r="L21" s="22" t="s">
        <v>349</v>
      </c>
      <c r="M21" s="22" t="s">
        <v>298</v>
      </c>
      <c r="N21" s="22" t="s">
        <v>431</v>
      </c>
      <c r="O21" s="20" t="s">
        <v>432</v>
      </c>
      <c r="P21" s="24"/>
      <c r="Q21" s="24"/>
      <c r="R21" s="24"/>
      <c r="S21" s="24"/>
    </row>
    <row r="22" customFormat="false" ht="23.85" hidden="false" customHeight="false" outlineLevel="0" collapsed="false">
      <c r="A22" s="20" t="n">
        <v>21</v>
      </c>
      <c r="B22" s="21" t="s">
        <v>3</v>
      </c>
      <c r="C22" s="22" t="s">
        <v>16</v>
      </c>
      <c r="D22" s="20" t="s">
        <v>65</v>
      </c>
      <c r="E22" s="20" t="s">
        <v>433</v>
      </c>
      <c r="F22" s="20" t="s">
        <v>434</v>
      </c>
      <c r="G22" s="23" t="s">
        <v>66</v>
      </c>
      <c r="H22" s="20" t="s">
        <v>435</v>
      </c>
      <c r="I22" s="22" t="s">
        <v>295</v>
      </c>
      <c r="J22" s="20"/>
      <c r="K22" s="20" t="s">
        <v>436</v>
      </c>
      <c r="L22" s="22" t="s">
        <v>349</v>
      </c>
      <c r="M22" s="22" t="s">
        <v>298</v>
      </c>
      <c r="N22" s="22" t="s">
        <v>437</v>
      </c>
      <c r="O22" s="20" t="s">
        <v>438</v>
      </c>
      <c r="P22" s="24"/>
      <c r="Q22" s="24"/>
      <c r="R22" s="24"/>
      <c r="S22" s="24"/>
    </row>
    <row r="23" customFormat="false" ht="15" hidden="false" customHeight="false" outlineLevel="0" collapsed="false">
      <c r="A23" s="20" t="n">
        <v>22</v>
      </c>
      <c r="B23" s="25" t="s">
        <v>5</v>
      </c>
      <c r="C23" s="22" t="s">
        <v>16</v>
      </c>
      <c r="D23" s="20" t="s">
        <v>168</v>
      </c>
      <c r="E23" s="20" t="s">
        <v>433</v>
      </c>
      <c r="F23" s="20" t="s">
        <v>439</v>
      </c>
      <c r="G23" s="23" t="s">
        <v>169</v>
      </c>
      <c r="H23" s="20" t="s">
        <v>440</v>
      </c>
      <c r="I23" s="22" t="s">
        <v>295</v>
      </c>
      <c r="J23" s="20"/>
      <c r="K23" s="20" t="s">
        <v>441</v>
      </c>
      <c r="L23" s="22" t="s">
        <v>386</v>
      </c>
      <c r="M23" s="22" t="s">
        <v>328</v>
      </c>
      <c r="N23" s="22" t="s">
        <v>442</v>
      </c>
      <c r="O23" s="20" t="s">
        <v>443</v>
      </c>
      <c r="P23" s="24"/>
      <c r="Q23" s="24"/>
      <c r="R23" s="24"/>
      <c r="S23" s="24"/>
    </row>
    <row r="24" customFormat="false" ht="35.05" hidden="false" customHeight="false" outlineLevel="0" collapsed="false">
      <c r="A24" s="20" t="n">
        <v>23</v>
      </c>
      <c r="B24" s="26" t="s">
        <v>7</v>
      </c>
      <c r="C24" s="22" t="s">
        <v>16</v>
      </c>
      <c r="D24" s="20" t="s">
        <v>241</v>
      </c>
      <c r="E24" s="20" t="s">
        <v>433</v>
      </c>
      <c r="F24" s="20"/>
      <c r="G24" s="23" t="s">
        <v>444</v>
      </c>
      <c r="H24" s="20" t="s">
        <v>445</v>
      </c>
      <c r="I24" s="20" t="s">
        <v>446</v>
      </c>
      <c r="J24" s="20" t="s">
        <v>447</v>
      </c>
      <c r="K24" s="22" t="s">
        <v>448</v>
      </c>
      <c r="L24" s="22" t="s">
        <v>335</v>
      </c>
      <c r="M24" s="22" t="s">
        <v>356</v>
      </c>
      <c r="N24" s="22" t="s">
        <v>449</v>
      </c>
      <c r="O24" s="20" t="s">
        <v>450</v>
      </c>
      <c r="P24" s="24"/>
      <c r="Q24" s="24"/>
      <c r="R24" s="24"/>
      <c r="S24" s="24"/>
    </row>
    <row r="25" customFormat="false" ht="26.85" hidden="false" customHeight="false" outlineLevel="0" collapsed="false">
      <c r="A25" s="20" t="n">
        <v>24</v>
      </c>
      <c r="B25" s="26" t="s">
        <v>7</v>
      </c>
      <c r="C25" s="22" t="s">
        <v>16</v>
      </c>
      <c r="D25" s="20" t="s">
        <v>451</v>
      </c>
      <c r="E25" s="20" t="s">
        <v>433</v>
      </c>
      <c r="F25" s="20"/>
      <c r="G25" s="23"/>
      <c r="H25" s="20" t="s">
        <v>452</v>
      </c>
      <c r="I25" s="20"/>
      <c r="J25" s="22" t="s">
        <v>453</v>
      </c>
      <c r="K25" s="22" t="s">
        <v>454</v>
      </c>
      <c r="L25" s="22" t="s">
        <v>335</v>
      </c>
      <c r="M25" s="22" t="s">
        <v>455</v>
      </c>
      <c r="N25" s="22" t="s">
        <v>456</v>
      </c>
      <c r="O25" s="20" t="s">
        <v>450</v>
      </c>
      <c r="P25" s="24"/>
      <c r="Q25" s="24"/>
      <c r="R25" s="24"/>
      <c r="S25" s="24"/>
    </row>
    <row r="26" customFormat="false" ht="25.35" hidden="false" customHeight="false" outlineLevel="0" collapsed="false">
      <c r="A26" s="20" t="n">
        <v>25</v>
      </c>
      <c r="B26" s="21" t="s">
        <v>3</v>
      </c>
      <c r="C26" s="22" t="s">
        <v>17</v>
      </c>
      <c r="D26" s="20" t="s">
        <v>40</v>
      </c>
      <c r="E26" s="20" t="s">
        <v>457</v>
      </c>
      <c r="F26" s="20" t="s">
        <v>458</v>
      </c>
      <c r="G26" s="23" t="s">
        <v>41</v>
      </c>
      <c r="H26" s="20" t="s">
        <v>459</v>
      </c>
      <c r="I26" s="22" t="s">
        <v>295</v>
      </c>
      <c r="J26" s="20"/>
      <c r="K26" s="20" t="s">
        <v>460</v>
      </c>
      <c r="L26" s="22" t="s">
        <v>379</v>
      </c>
      <c r="M26" s="22" t="s">
        <v>298</v>
      </c>
      <c r="N26" s="22" t="s">
        <v>461</v>
      </c>
      <c r="O26" s="20" t="s">
        <v>462</v>
      </c>
      <c r="P26" s="24"/>
      <c r="Q26" s="24"/>
      <c r="R26" s="24"/>
      <c r="S26" s="24"/>
    </row>
    <row r="27" customFormat="false" ht="15" hidden="false" customHeight="false" outlineLevel="0" collapsed="false">
      <c r="A27" s="20" t="n">
        <v>26</v>
      </c>
      <c r="B27" s="25" t="s">
        <v>5</v>
      </c>
      <c r="C27" s="22" t="s">
        <v>17</v>
      </c>
      <c r="D27" s="20" t="s">
        <v>113</v>
      </c>
      <c r="E27" s="20" t="s">
        <v>457</v>
      </c>
      <c r="F27" s="20" t="s">
        <v>463</v>
      </c>
      <c r="G27" s="23" t="s">
        <v>114</v>
      </c>
      <c r="H27" s="20" t="s">
        <v>464</v>
      </c>
      <c r="I27" s="22" t="s">
        <v>295</v>
      </c>
      <c r="J27" s="20"/>
      <c r="K27" s="22" t="s">
        <v>465</v>
      </c>
      <c r="L27" s="22" t="s">
        <v>386</v>
      </c>
      <c r="M27" s="22" t="s">
        <v>313</v>
      </c>
      <c r="N27" s="22" t="s">
        <v>466</v>
      </c>
      <c r="O27" s="20" t="s">
        <v>467</v>
      </c>
      <c r="P27" s="24"/>
      <c r="Q27" s="24"/>
      <c r="R27" s="24"/>
      <c r="S27" s="24"/>
    </row>
    <row r="28" customFormat="false" ht="15" hidden="false" customHeight="false" outlineLevel="0" collapsed="false">
      <c r="A28" s="20" t="n">
        <v>27</v>
      </c>
      <c r="B28" s="26" t="s">
        <v>7</v>
      </c>
      <c r="C28" s="22" t="s">
        <v>17</v>
      </c>
      <c r="D28" s="20" t="s">
        <v>210</v>
      </c>
      <c r="E28" s="20" t="s">
        <v>457</v>
      </c>
      <c r="F28" s="20" t="s">
        <v>468</v>
      </c>
      <c r="G28" s="23" t="s">
        <v>211</v>
      </c>
      <c r="H28" s="20" t="s">
        <v>469</v>
      </c>
      <c r="I28" s="20" t="s">
        <v>470</v>
      </c>
      <c r="J28" s="20" t="s">
        <v>471</v>
      </c>
      <c r="K28" s="22" t="s">
        <v>472</v>
      </c>
      <c r="L28" s="22" t="s">
        <v>335</v>
      </c>
      <c r="M28" s="22" t="s">
        <v>455</v>
      </c>
      <c r="N28" s="22" t="s">
        <v>473</v>
      </c>
      <c r="O28" s="20" t="s">
        <v>474</v>
      </c>
      <c r="P28" s="24"/>
      <c r="Q28" s="24"/>
      <c r="R28" s="24"/>
      <c r="S28" s="24"/>
    </row>
    <row r="29" customFormat="false" ht="26.85" hidden="false" customHeight="false" outlineLevel="0" collapsed="false">
      <c r="A29" s="20" t="n">
        <v>28</v>
      </c>
      <c r="B29" s="21" t="s">
        <v>3</v>
      </c>
      <c r="C29" s="22" t="s">
        <v>18</v>
      </c>
      <c r="D29" s="20" t="s">
        <v>79</v>
      </c>
      <c r="E29" s="20" t="s">
        <v>475</v>
      </c>
      <c r="F29" s="20" t="s">
        <v>476</v>
      </c>
      <c r="G29" s="23" t="s">
        <v>477</v>
      </c>
      <c r="H29" s="20" t="s">
        <v>478</v>
      </c>
      <c r="I29" s="20" t="s">
        <v>476</v>
      </c>
      <c r="J29" s="20" t="s">
        <v>479</v>
      </c>
      <c r="K29" s="22" t="s">
        <v>480</v>
      </c>
      <c r="L29" s="22" t="s">
        <v>481</v>
      </c>
      <c r="M29" s="22" t="s">
        <v>298</v>
      </c>
      <c r="N29" s="22" t="s">
        <v>482</v>
      </c>
      <c r="O29" s="20" t="s">
        <v>483</v>
      </c>
      <c r="P29" s="24"/>
      <c r="Q29" s="24"/>
      <c r="R29" s="24"/>
      <c r="S29" s="24"/>
    </row>
    <row r="30" customFormat="false" ht="23.85" hidden="false" customHeight="false" outlineLevel="0" collapsed="false">
      <c r="A30" s="20" t="n">
        <v>29</v>
      </c>
      <c r="B30" s="21" t="s">
        <v>3</v>
      </c>
      <c r="C30" s="22" t="s">
        <v>18</v>
      </c>
      <c r="D30" s="20" t="s">
        <v>82</v>
      </c>
      <c r="E30" s="20" t="s">
        <v>484</v>
      </c>
      <c r="F30" s="20" t="s">
        <v>485</v>
      </c>
      <c r="G30" s="23" t="s">
        <v>83</v>
      </c>
      <c r="H30" s="20" t="s">
        <v>486</v>
      </c>
      <c r="I30" s="22" t="s">
        <v>295</v>
      </c>
      <c r="J30" s="20"/>
      <c r="K30" s="22" t="s">
        <v>487</v>
      </c>
      <c r="L30" s="22" t="s">
        <v>488</v>
      </c>
      <c r="M30" s="22" t="s">
        <v>298</v>
      </c>
      <c r="N30" s="22" t="s">
        <v>489</v>
      </c>
      <c r="O30" s="20" t="s">
        <v>490</v>
      </c>
      <c r="P30" s="24"/>
      <c r="Q30" s="24"/>
      <c r="R30" s="24"/>
      <c r="S30" s="24"/>
    </row>
    <row r="31" customFormat="false" ht="26.85" hidden="false" customHeight="false" outlineLevel="0" collapsed="false">
      <c r="A31" s="20" t="n">
        <v>30</v>
      </c>
      <c r="B31" s="25" t="s">
        <v>5</v>
      </c>
      <c r="C31" s="22" t="s">
        <v>18</v>
      </c>
      <c r="D31" s="20" t="s">
        <v>491</v>
      </c>
      <c r="E31" s="20" t="s">
        <v>484</v>
      </c>
      <c r="F31" s="20" t="s">
        <v>492</v>
      </c>
      <c r="G31" s="23"/>
      <c r="H31" s="20"/>
      <c r="I31" s="20"/>
      <c r="J31" s="22" t="s">
        <v>493</v>
      </c>
      <c r="K31" s="20" t="s">
        <v>494</v>
      </c>
      <c r="L31" s="22" t="s">
        <v>379</v>
      </c>
      <c r="M31" s="22" t="s">
        <v>328</v>
      </c>
      <c r="N31" s="22" t="s">
        <v>495</v>
      </c>
      <c r="O31" s="20" t="s">
        <v>496</v>
      </c>
      <c r="P31" s="24"/>
      <c r="Q31" s="24"/>
      <c r="R31" s="24"/>
      <c r="S31" s="24"/>
    </row>
    <row r="32" customFormat="false" ht="23.85" hidden="false" customHeight="false" outlineLevel="0" collapsed="false">
      <c r="A32" s="20" t="n">
        <v>31</v>
      </c>
      <c r="B32" s="25" t="s">
        <v>5</v>
      </c>
      <c r="C32" s="22" t="s">
        <v>18</v>
      </c>
      <c r="D32" s="20" t="s">
        <v>178</v>
      </c>
      <c r="E32" s="20" t="s">
        <v>475</v>
      </c>
      <c r="F32" s="20" t="s">
        <v>497</v>
      </c>
      <c r="G32" s="23" t="s">
        <v>179</v>
      </c>
      <c r="H32" s="20"/>
      <c r="I32" s="20" t="s">
        <v>498</v>
      </c>
      <c r="J32" s="20" t="s">
        <v>499</v>
      </c>
      <c r="K32" s="20" t="s">
        <v>500</v>
      </c>
      <c r="L32" s="22" t="s">
        <v>349</v>
      </c>
      <c r="M32" s="22" t="s">
        <v>328</v>
      </c>
      <c r="N32" s="20" t="s">
        <v>501</v>
      </c>
      <c r="O32" s="20" t="s">
        <v>502</v>
      </c>
      <c r="P32" s="24"/>
      <c r="Q32" s="24"/>
      <c r="R32" s="24"/>
      <c r="S32" s="24"/>
    </row>
    <row r="33" customFormat="false" ht="23.85" hidden="false" customHeight="false" outlineLevel="0" collapsed="false">
      <c r="A33" s="20" t="n">
        <v>32</v>
      </c>
      <c r="B33" s="26" t="s">
        <v>7</v>
      </c>
      <c r="C33" s="22" t="s">
        <v>18</v>
      </c>
      <c r="D33" s="20" t="s">
        <v>256</v>
      </c>
      <c r="E33" s="20" t="s">
        <v>503</v>
      </c>
      <c r="F33" s="20"/>
      <c r="G33" s="23" t="s">
        <v>504</v>
      </c>
      <c r="H33" s="20"/>
      <c r="I33" s="20" t="s">
        <v>505</v>
      </c>
      <c r="J33" s="20" t="s">
        <v>506</v>
      </c>
      <c r="K33" s="22" t="s">
        <v>507</v>
      </c>
      <c r="L33" s="22" t="s">
        <v>508</v>
      </c>
      <c r="M33" s="22" t="s">
        <v>356</v>
      </c>
      <c r="N33" s="22" t="s">
        <v>509</v>
      </c>
      <c r="O33" s="20" t="s">
        <v>510</v>
      </c>
      <c r="P33" s="24"/>
      <c r="Q33" s="24"/>
      <c r="R33" s="24"/>
      <c r="S33" s="24"/>
    </row>
    <row r="34" customFormat="false" ht="26.85" hidden="false" customHeight="false" outlineLevel="0" collapsed="false">
      <c r="A34" s="20" t="n">
        <v>33</v>
      </c>
      <c r="B34" s="21" t="s">
        <v>3</v>
      </c>
      <c r="C34" s="22" t="s">
        <v>19</v>
      </c>
      <c r="D34" s="20" t="s">
        <v>93</v>
      </c>
      <c r="E34" s="20" t="s">
        <v>511</v>
      </c>
      <c r="F34" s="20" t="s">
        <v>512</v>
      </c>
      <c r="G34" s="23" t="s">
        <v>94</v>
      </c>
      <c r="H34" s="20" t="s">
        <v>513</v>
      </c>
      <c r="I34" s="22" t="s">
        <v>295</v>
      </c>
      <c r="J34" s="20"/>
      <c r="K34" s="20" t="s">
        <v>514</v>
      </c>
      <c r="L34" s="20" t="s">
        <v>320</v>
      </c>
      <c r="M34" s="22" t="s">
        <v>298</v>
      </c>
      <c r="N34" s="22" t="s">
        <v>515</v>
      </c>
      <c r="O34" s="20" t="s">
        <v>516</v>
      </c>
      <c r="P34" s="24"/>
      <c r="Q34" s="24"/>
      <c r="R34" s="24"/>
      <c r="S34" s="24"/>
    </row>
    <row r="35" customFormat="false" ht="35.05" hidden="false" customHeight="false" outlineLevel="0" collapsed="false">
      <c r="A35" s="20" t="n">
        <v>34</v>
      </c>
      <c r="B35" s="25" t="s">
        <v>5</v>
      </c>
      <c r="C35" s="22" t="s">
        <v>19</v>
      </c>
      <c r="D35" s="20" t="s">
        <v>193</v>
      </c>
      <c r="E35" s="20" t="s">
        <v>511</v>
      </c>
      <c r="F35" s="20" t="s">
        <v>517</v>
      </c>
      <c r="G35" s="23" t="s">
        <v>518</v>
      </c>
      <c r="H35" s="20" t="s">
        <v>519</v>
      </c>
      <c r="I35" s="20" t="s">
        <v>520</v>
      </c>
      <c r="J35" s="22" t="s">
        <v>521</v>
      </c>
      <c r="K35" s="22" t="s">
        <v>522</v>
      </c>
      <c r="L35" s="22" t="s">
        <v>523</v>
      </c>
      <c r="M35" s="22" t="s">
        <v>328</v>
      </c>
      <c r="N35" s="22" t="s">
        <v>524</v>
      </c>
      <c r="O35" s="20" t="s">
        <v>525</v>
      </c>
      <c r="P35" s="24"/>
      <c r="Q35" s="24"/>
      <c r="R35" s="24"/>
      <c r="S35" s="24"/>
    </row>
    <row r="36" customFormat="false" ht="23.85" hidden="false" customHeight="false" outlineLevel="0" collapsed="false">
      <c r="A36" s="20" t="n">
        <v>35</v>
      </c>
      <c r="B36" s="25" t="s">
        <v>5</v>
      </c>
      <c r="C36" s="22" t="s">
        <v>19</v>
      </c>
      <c r="D36" s="20" t="s">
        <v>196</v>
      </c>
      <c r="E36" s="20" t="s">
        <v>511</v>
      </c>
      <c r="F36" s="20" t="s">
        <v>526</v>
      </c>
      <c r="G36" s="23" t="s">
        <v>527</v>
      </c>
      <c r="H36" s="20"/>
      <c r="I36" s="20" t="s">
        <v>528</v>
      </c>
      <c r="J36" s="20" t="s">
        <v>529</v>
      </c>
      <c r="K36" s="22" t="s">
        <v>530</v>
      </c>
      <c r="L36" s="20" t="s">
        <v>320</v>
      </c>
      <c r="M36" s="22" t="s">
        <v>313</v>
      </c>
      <c r="N36" s="22" t="s">
        <v>531</v>
      </c>
      <c r="O36" s="20" t="s">
        <v>532</v>
      </c>
      <c r="P36" s="24"/>
      <c r="Q36" s="24"/>
      <c r="R36" s="24"/>
      <c r="S36" s="24"/>
    </row>
    <row r="37" customFormat="false" ht="35.05" hidden="false" customHeight="false" outlineLevel="0" collapsed="false">
      <c r="A37" s="20" t="n">
        <v>36</v>
      </c>
      <c r="B37" s="26" t="s">
        <v>7</v>
      </c>
      <c r="C37" s="22" t="s">
        <v>19</v>
      </c>
      <c r="D37" s="20" t="s">
        <v>263</v>
      </c>
      <c r="E37" s="20" t="s">
        <v>511</v>
      </c>
      <c r="F37" s="20"/>
      <c r="G37" s="23" t="s">
        <v>264</v>
      </c>
      <c r="H37" s="20" t="s">
        <v>533</v>
      </c>
      <c r="I37" s="22" t="s">
        <v>295</v>
      </c>
      <c r="J37" s="20"/>
      <c r="K37" s="22" t="s">
        <v>534</v>
      </c>
      <c r="L37" s="22" t="s">
        <v>404</v>
      </c>
      <c r="M37" s="22" t="s">
        <v>356</v>
      </c>
      <c r="N37" s="22" t="s">
        <v>535</v>
      </c>
      <c r="O37" s="20" t="s">
        <v>536</v>
      </c>
      <c r="P37" s="24"/>
      <c r="Q37" s="24"/>
      <c r="R37" s="24"/>
      <c r="S37" s="24"/>
    </row>
    <row r="38" customFormat="false" ht="15" hidden="false" customHeight="false" outlineLevel="0" collapsed="false">
      <c r="A38" s="20" t="n">
        <v>37</v>
      </c>
      <c r="B38" s="26" t="s">
        <v>7</v>
      </c>
      <c r="C38" s="22" t="s">
        <v>19</v>
      </c>
      <c r="D38" s="20" t="s">
        <v>265</v>
      </c>
      <c r="E38" s="20" t="s">
        <v>511</v>
      </c>
      <c r="F38" s="20" t="s">
        <v>537</v>
      </c>
      <c r="G38" s="23" t="s">
        <v>261</v>
      </c>
      <c r="H38" s="20" t="s">
        <v>538</v>
      </c>
      <c r="I38" s="22" t="s">
        <v>295</v>
      </c>
      <c r="J38" s="20"/>
      <c r="K38" s="20" t="s">
        <v>539</v>
      </c>
      <c r="L38" s="20" t="s">
        <v>540</v>
      </c>
      <c r="M38" s="22" t="s">
        <v>455</v>
      </c>
      <c r="N38" s="22" t="s">
        <v>541</v>
      </c>
      <c r="O38" s="20" t="s">
        <v>542</v>
      </c>
      <c r="P38" s="24"/>
      <c r="Q38" s="24"/>
      <c r="R38" s="24"/>
      <c r="S38" s="24"/>
    </row>
    <row r="39" customFormat="false" ht="46.25" hidden="false" customHeight="false" outlineLevel="0" collapsed="false">
      <c r="A39" s="20" t="n">
        <v>38</v>
      </c>
      <c r="B39" s="21" t="s">
        <v>3</v>
      </c>
      <c r="C39" s="22" t="s">
        <v>20</v>
      </c>
      <c r="D39" s="20" t="s">
        <v>84</v>
      </c>
      <c r="E39" s="20" t="s">
        <v>543</v>
      </c>
      <c r="F39" s="20" t="s">
        <v>544</v>
      </c>
      <c r="G39" s="23" t="s">
        <v>545</v>
      </c>
      <c r="H39" s="20" t="s">
        <v>546</v>
      </c>
      <c r="I39" s="20" t="s">
        <v>547</v>
      </c>
      <c r="J39" s="22" t="s">
        <v>548</v>
      </c>
      <c r="K39" s="20" t="s">
        <v>549</v>
      </c>
      <c r="L39" s="22" t="s">
        <v>550</v>
      </c>
      <c r="M39" s="22" t="s">
        <v>298</v>
      </c>
      <c r="N39" s="22" t="s">
        <v>551</v>
      </c>
      <c r="O39" s="20" t="s">
        <v>552</v>
      </c>
      <c r="P39" s="24"/>
      <c r="Q39" s="24"/>
      <c r="R39" s="24"/>
      <c r="S39" s="24"/>
    </row>
    <row r="40" customFormat="false" ht="57.45" hidden="false" customHeight="false" outlineLevel="0" collapsed="false">
      <c r="A40" s="20" t="n">
        <v>39</v>
      </c>
      <c r="B40" s="25" t="s">
        <v>5</v>
      </c>
      <c r="C40" s="22" t="s">
        <v>20</v>
      </c>
      <c r="D40" s="20" t="s">
        <v>553</v>
      </c>
      <c r="E40" s="20" t="s">
        <v>554</v>
      </c>
      <c r="F40" s="20" t="s">
        <v>555</v>
      </c>
      <c r="G40" s="23"/>
      <c r="H40" s="20" t="s">
        <v>556</v>
      </c>
      <c r="I40" s="20"/>
      <c r="J40" s="22" t="s">
        <v>557</v>
      </c>
      <c r="K40" s="20" t="s">
        <v>558</v>
      </c>
      <c r="L40" s="20" t="s">
        <v>559</v>
      </c>
      <c r="M40" s="22" t="s">
        <v>328</v>
      </c>
      <c r="N40" s="22" t="s">
        <v>560</v>
      </c>
      <c r="O40" s="20" t="s">
        <v>561</v>
      </c>
      <c r="P40" s="24"/>
      <c r="Q40" s="24"/>
      <c r="R40" s="24"/>
      <c r="S40" s="24"/>
    </row>
    <row r="41" customFormat="false" ht="35.05" hidden="false" customHeight="false" outlineLevel="0" collapsed="false">
      <c r="A41" s="20" t="n">
        <v>40</v>
      </c>
      <c r="B41" s="21" t="s">
        <v>3</v>
      </c>
      <c r="C41" s="22" t="s">
        <v>20</v>
      </c>
      <c r="D41" s="20" t="s">
        <v>89</v>
      </c>
      <c r="E41" s="20" t="s">
        <v>562</v>
      </c>
      <c r="F41" s="20" t="s">
        <v>563</v>
      </c>
      <c r="G41" s="23" t="s">
        <v>564</v>
      </c>
      <c r="H41" s="20"/>
      <c r="I41" s="20" t="s">
        <v>563</v>
      </c>
      <c r="J41" s="22" t="s">
        <v>565</v>
      </c>
      <c r="K41" s="20" t="s">
        <v>566</v>
      </c>
      <c r="L41" s="22" t="s">
        <v>567</v>
      </c>
      <c r="M41" s="22" t="s">
        <v>298</v>
      </c>
      <c r="N41" s="22" t="s">
        <v>568</v>
      </c>
      <c r="O41" s="20" t="s">
        <v>569</v>
      </c>
      <c r="P41" s="24"/>
      <c r="Q41" s="24"/>
      <c r="R41" s="24"/>
      <c r="S41" s="24"/>
    </row>
    <row r="42" customFormat="false" ht="35.05" hidden="false" customHeight="false" outlineLevel="0" collapsed="false">
      <c r="A42" s="20" t="n">
        <v>41</v>
      </c>
      <c r="B42" s="25" t="s">
        <v>5</v>
      </c>
      <c r="C42" s="22" t="s">
        <v>20</v>
      </c>
      <c r="D42" s="20" t="s">
        <v>180</v>
      </c>
      <c r="E42" s="20" t="s">
        <v>570</v>
      </c>
      <c r="F42" s="20" t="s">
        <v>571</v>
      </c>
      <c r="G42" s="23" t="s">
        <v>181</v>
      </c>
      <c r="H42" s="20"/>
      <c r="I42" s="20" t="s">
        <v>572</v>
      </c>
      <c r="J42" s="20" t="s">
        <v>573</v>
      </c>
      <c r="K42" s="20" t="s">
        <v>574</v>
      </c>
      <c r="L42" s="22" t="s">
        <v>575</v>
      </c>
      <c r="M42" s="22" t="s">
        <v>328</v>
      </c>
      <c r="N42" s="20" t="s">
        <v>576</v>
      </c>
      <c r="O42" s="20" t="s">
        <v>577</v>
      </c>
      <c r="P42" s="24"/>
      <c r="Q42" s="24"/>
      <c r="R42" s="24"/>
      <c r="S42" s="24"/>
    </row>
    <row r="43" customFormat="false" ht="35.05" hidden="false" customHeight="false" outlineLevel="0" collapsed="false">
      <c r="A43" s="20" t="n">
        <v>42</v>
      </c>
      <c r="B43" s="25" t="s">
        <v>5</v>
      </c>
      <c r="C43" s="22" t="s">
        <v>20</v>
      </c>
      <c r="D43" s="20" t="s">
        <v>182</v>
      </c>
      <c r="E43" s="20" t="s">
        <v>578</v>
      </c>
      <c r="F43" s="20" t="s">
        <v>579</v>
      </c>
      <c r="G43" s="23" t="s">
        <v>580</v>
      </c>
      <c r="H43" s="20"/>
      <c r="I43" s="20" t="s">
        <v>581</v>
      </c>
      <c r="J43" s="20" t="s">
        <v>582</v>
      </c>
      <c r="K43" s="20" t="s">
        <v>583</v>
      </c>
      <c r="L43" s="22" t="s">
        <v>343</v>
      </c>
      <c r="M43" s="22" t="s">
        <v>328</v>
      </c>
      <c r="N43" s="22" t="s">
        <v>584</v>
      </c>
      <c r="O43" s="20" t="s">
        <v>585</v>
      </c>
      <c r="P43" s="24"/>
      <c r="Q43" s="24"/>
      <c r="R43" s="24"/>
      <c r="S43" s="24"/>
    </row>
    <row r="44" customFormat="false" ht="35.05" hidden="false" customHeight="false" outlineLevel="0" collapsed="false">
      <c r="A44" s="20" t="n">
        <v>43</v>
      </c>
      <c r="B44" s="25" t="s">
        <v>5</v>
      </c>
      <c r="C44" s="22" t="s">
        <v>20</v>
      </c>
      <c r="D44" s="20" t="s">
        <v>186</v>
      </c>
      <c r="E44" s="20" t="s">
        <v>554</v>
      </c>
      <c r="F44" s="20" t="s">
        <v>586</v>
      </c>
      <c r="G44" s="23" t="s">
        <v>587</v>
      </c>
      <c r="H44" s="20"/>
      <c r="I44" s="20" t="s">
        <v>586</v>
      </c>
      <c r="J44" s="20" t="s">
        <v>588</v>
      </c>
      <c r="K44" s="20" t="s">
        <v>589</v>
      </c>
      <c r="L44" s="22" t="s">
        <v>343</v>
      </c>
      <c r="M44" s="22" t="s">
        <v>328</v>
      </c>
      <c r="N44" s="22" t="s">
        <v>590</v>
      </c>
      <c r="O44" s="20" t="s">
        <v>591</v>
      </c>
      <c r="P44" s="24"/>
      <c r="Q44" s="24"/>
      <c r="R44" s="24"/>
      <c r="S44" s="24"/>
    </row>
    <row r="45" customFormat="false" ht="35.05" hidden="false" customHeight="false" outlineLevel="0" collapsed="false">
      <c r="A45" s="20" t="n">
        <v>44</v>
      </c>
      <c r="B45" s="25" t="s">
        <v>5</v>
      </c>
      <c r="C45" s="22" t="s">
        <v>20</v>
      </c>
      <c r="D45" s="20" t="s">
        <v>189</v>
      </c>
      <c r="E45" s="20"/>
      <c r="F45" s="20" t="s">
        <v>592</v>
      </c>
      <c r="G45" s="23" t="s">
        <v>593</v>
      </c>
      <c r="H45" s="20"/>
      <c r="I45" s="20" t="s">
        <v>594</v>
      </c>
      <c r="J45" s="20" t="s">
        <v>595</v>
      </c>
      <c r="K45" s="20" t="s">
        <v>596</v>
      </c>
      <c r="L45" s="22" t="s">
        <v>305</v>
      </c>
      <c r="M45" s="22" t="s">
        <v>328</v>
      </c>
      <c r="N45" s="22" t="s">
        <v>597</v>
      </c>
      <c r="O45" s="20" t="s">
        <v>598</v>
      </c>
      <c r="P45" s="24"/>
      <c r="Q45" s="24"/>
      <c r="R45" s="24"/>
      <c r="S45" s="24"/>
    </row>
    <row r="46" customFormat="false" ht="25.35" hidden="false" customHeight="false" outlineLevel="0" collapsed="false">
      <c r="A46" s="20" t="n">
        <v>45</v>
      </c>
      <c r="B46" s="26" t="s">
        <v>7</v>
      </c>
      <c r="C46" s="22" t="s">
        <v>13</v>
      </c>
      <c r="D46" s="20" t="s">
        <v>219</v>
      </c>
      <c r="E46" s="20" t="s">
        <v>599</v>
      </c>
      <c r="F46" s="20" t="s">
        <v>600</v>
      </c>
      <c r="G46" s="23" t="s">
        <v>601</v>
      </c>
      <c r="H46" s="20"/>
      <c r="I46" s="20" t="s">
        <v>600</v>
      </c>
      <c r="J46" s="22" t="s">
        <v>602</v>
      </c>
      <c r="K46" s="20" t="s">
        <v>603</v>
      </c>
      <c r="L46" s="22" t="s">
        <v>343</v>
      </c>
      <c r="M46" s="22" t="s">
        <v>356</v>
      </c>
      <c r="N46" s="22" t="s">
        <v>604</v>
      </c>
      <c r="O46" s="20" t="s">
        <v>605</v>
      </c>
      <c r="P46" s="24"/>
      <c r="Q46" s="24"/>
      <c r="R46" s="24"/>
      <c r="S46" s="24"/>
    </row>
    <row r="47" customFormat="false" ht="35.05" hidden="false" customHeight="false" outlineLevel="0" collapsed="false">
      <c r="A47" s="20" t="n">
        <v>46</v>
      </c>
      <c r="B47" s="26" t="s">
        <v>7</v>
      </c>
      <c r="C47" s="22" t="s">
        <v>20</v>
      </c>
      <c r="D47" s="20" t="s">
        <v>259</v>
      </c>
      <c r="E47" s="20" t="s">
        <v>606</v>
      </c>
      <c r="F47" s="20" t="s">
        <v>537</v>
      </c>
      <c r="G47" s="23" t="s">
        <v>607</v>
      </c>
      <c r="H47" s="20" t="s">
        <v>608</v>
      </c>
      <c r="I47" s="20" t="s">
        <v>609</v>
      </c>
      <c r="J47" s="22" t="s">
        <v>610</v>
      </c>
      <c r="K47" s="20" t="s">
        <v>611</v>
      </c>
      <c r="L47" s="20" t="s">
        <v>612</v>
      </c>
      <c r="M47" s="22" t="s">
        <v>455</v>
      </c>
      <c r="N47" s="22" t="s">
        <v>541</v>
      </c>
      <c r="O47" s="20" t="s">
        <v>613</v>
      </c>
      <c r="P47" s="24"/>
      <c r="Q47" s="24"/>
      <c r="R47" s="24"/>
      <c r="S47" s="24"/>
    </row>
    <row r="48" customFormat="false" ht="26.85" hidden="false" customHeight="false" outlineLevel="0" collapsed="false">
      <c r="A48" s="20" t="n">
        <v>47</v>
      </c>
      <c r="B48" s="21" t="s">
        <v>3</v>
      </c>
      <c r="C48" s="22" t="s">
        <v>21</v>
      </c>
      <c r="D48" s="20" t="s">
        <v>58</v>
      </c>
      <c r="E48" s="20" t="s">
        <v>614</v>
      </c>
      <c r="F48" s="20" t="s">
        <v>615</v>
      </c>
      <c r="G48" s="23" t="s">
        <v>616</v>
      </c>
      <c r="H48" s="20"/>
      <c r="I48" s="20" t="s">
        <v>617</v>
      </c>
      <c r="J48" s="20" t="s">
        <v>618</v>
      </c>
      <c r="K48" s="20" t="s">
        <v>619</v>
      </c>
      <c r="L48" s="22" t="s">
        <v>620</v>
      </c>
      <c r="M48" s="22" t="s">
        <v>313</v>
      </c>
      <c r="N48" s="20" t="s">
        <v>621</v>
      </c>
      <c r="O48" s="20" t="s">
        <v>622</v>
      </c>
      <c r="P48" s="24"/>
      <c r="Q48" s="24"/>
      <c r="R48" s="24"/>
      <c r="S48" s="24"/>
    </row>
    <row r="49" customFormat="false" ht="26.85" hidden="false" customHeight="false" outlineLevel="0" collapsed="false">
      <c r="A49" s="20" t="n">
        <v>48</v>
      </c>
      <c r="B49" s="25" t="s">
        <v>5</v>
      </c>
      <c r="C49" s="22" t="s">
        <v>21</v>
      </c>
      <c r="D49" s="20" t="s">
        <v>160</v>
      </c>
      <c r="E49" s="20" t="s">
        <v>623</v>
      </c>
      <c r="F49" s="20" t="s">
        <v>624</v>
      </c>
      <c r="G49" s="23" t="s">
        <v>161</v>
      </c>
      <c r="H49" s="20" t="s">
        <v>625</v>
      </c>
      <c r="I49" s="22" t="s">
        <v>295</v>
      </c>
      <c r="J49" s="20"/>
      <c r="K49" s="20" t="s">
        <v>626</v>
      </c>
      <c r="L49" s="22" t="s">
        <v>349</v>
      </c>
      <c r="M49" s="22" t="s">
        <v>328</v>
      </c>
      <c r="N49" s="22" t="s">
        <v>627</v>
      </c>
      <c r="O49" s="20" t="s">
        <v>628</v>
      </c>
      <c r="P49" s="24"/>
      <c r="Q49" s="24"/>
      <c r="R49" s="24"/>
      <c r="S49" s="24"/>
    </row>
    <row r="50" customFormat="false" ht="23.85" hidden="false" customHeight="false" outlineLevel="0" collapsed="false">
      <c r="A50" s="20" t="n">
        <v>49</v>
      </c>
      <c r="B50" s="25" t="s">
        <v>5</v>
      </c>
      <c r="C50" s="22" t="s">
        <v>21</v>
      </c>
      <c r="D50" s="20" t="s">
        <v>162</v>
      </c>
      <c r="E50" s="20" t="s">
        <v>629</v>
      </c>
      <c r="F50" s="20" t="s">
        <v>630</v>
      </c>
      <c r="G50" s="23" t="s">
        <v>163</v>
      </c>
      <c r="H50" s="20"/>
      <c r="I50" s="20" t="s">
        <v>630</v>
      </c>
      <c r="J50" s="20" t="s">
        <v>631</v>
      </c>
      <c r="K50" s="22" t="s">
        <v>632</v>
      </c>
      <c r="L50" s="22" t="s">
        <v>620</v>
      </c>
      <c r="M50" s="22" t="s">
        <v>328</v>
      </c>
      <c r="N50" s="22" t="s">
        <v>633</v>
      </c>
      <c r="O50" s="20" t="s">
        <v>634</v>
      </c>
      <c r="P50" s="24"/>
      <c r="Q50" s="24"/>
      <c r="R50" s="24"/>
      <c r="S50" s="24"/>
    </row>
    <row r="51" customFormat="false" ht="23.85" hidden="false" customHeight="false" outlineLevel="0" collapsed="false">
      <c r="A51" s="20" t="n">
        <v>50</v>
      </c>
      <c r="B51" s="26" t="s">
        <v>7</v>
      </c>
      <c r="C51" s="22" t="s">
        <v>21</v>
      </c>
      <c r="D51" s="20" t="s">
        <v>235</v>
      </c>
      <c r="E51" s="20" t="s">
        <v>635</v>
      </c>
      <c r="F51" s="20" t="s">
        <v>636</v>
      </c>
      <c r="G51" s="23" t="s">
        <v>236</v>
      </c>
      <c r="H51" s="20" t="s">
        <v>637</v>
      </c>
      <c r="I51" s="20" t="s">
        <v>636</v>
      </c>
      <c r="J51" s="20" t="s">
        <v>638</v>
      </c>
      <c r="K51" s="20" t="s">
        <v>639</v>
      </c>
      <c r="L51" s="22" t="s">
        <v>640</v>
      </c>
      <c r="M51" s="22" t="s">
        <v>356</v>
      </c>
      <c r="N51" s="20" t="s">
        <v>641</v>
      </c>
      <c r="O51" s="20" t="s">
        <v>642</v>
      </c>
      <c r="P51" s="24"/>
      <c r="Q51" s="24"/>
      <c r="R51" s="24"/>
      <c r="S51" s="24"/>
    </row>
    <row r="52" customFormat="false" ht="23.85" hidden="false" customHeight="false" outlineLevel="0" collapsed="false">
      <c r="A52" s="20" t="n">
        <v>51</v>
      </c>
      <c r="B52" s="26" t="s">
        <v>7</v>
      </c>
      <c r="C52" s="22" t="s">
        <v>21</v>
      </c>
      <c r="D52" s="20" t="s">
        <v>237</v>
      </c>
      <c r="E52" s="20" t="s">
        <v>643</v>
      </c>
      <c r="F52" s="20" t="s">
        <v>644</v>
      </c>
      <c r="G52" s="23" t="s">
        <v>238</v>
      </c>
      <c r="H52" s="20"/>
      <c r="I52" s="20" t="s">
        <v>644</v>
      </c>
      <c r="J52" s="22" t="s">
        <v>645</v>
      </c>
      <c r="K52" s="20" t="s">
        <v>646</v>
      </c>
      <c r="L52" s="22" t="s">
        <v>647</v>
      </c>
      <c r="M52" s="22" t="s">
        <v>356</v>
      </c>
      <c r="N52" s="20" t="s">
        <v>648</v>
      </c>
      <c r="O52" s="20" t="s">
        <v>649</v>
      </c>
      <c r="P52" s="24"/>
      <c r="Q52" s="24"/>
      <c r="R52" s="24"/>
      <c r="S52" s="24"/>
    </row>
    <row r="53" customFormat="false" ht="15" hidden="false" customHeight="false" outlineLevel="0" collapsed="false">
      <c r="A53" s="20" t="n">
        <v>52</v>
      </c>
      <c r="B53" s="26" t="s">
        <v>7</v>
      </c>
      <c r="C53" s="22" t="s">
        <v>21</v>
      </c>
      <c r="D53" s="20" t="s">
        <v>239</v>
      </c>
      <c r="E53" s="20" t="s">
        <v>623</v>
      </c>
      <c r="F53" s="20"/>
      <c r="G53" s="23" t="s">
        <v>240</v>
      </c>
      <c r="H53" s="20"/>
      <c r="I53" s="20" t="s">
        <v>650</v>
      </c>
      <c r="J53" s="20" t="s">
        <v>651</v>
      </c>
      <c r="K53" s="22" t="s">
        <v>652</v>
      </c>
      <c r="L53" s="22" t="s">
        <v>335</v>
      </c>
      <c r="M53" s="22" t="s">
        <v>356</v>
      </c>
      <c r="N53" s="22" t="s">
        <v>473</v>
      </c>
      <c r="O53" s="20" t="s">
        <v>653</v>
      </c>
      <c r="P53" s="24"/>
      <c r="Q53" s="24"/>
      <c r="R53" s="24"/>
      <c r="S53" s="24"/>
    </row>
    <row r="54" customFormat="false" ht="26.85" hidden="false" customHeight="false" outlineLevel="0" collapsed="false">
      <c r="A54" s="20" t="n">
        <v>53</v>
      </c>
      <c r="B54" s="21" t="s">
        <v>3</v>
      </c>
      <c r="C54" s="22" t="s">
        <v>22</v>
      </c>
      <c r="D54" s="20" t="s">
        <v>42</v>
      </c>
      <c r="E54" s="20" t="s">
        <v>654</v>
      </c>
      <c r="F54" s="20" t="s">
        <v>655</v>
      </c>
      <c r="G54" s="23" t="s">
        <v>656</v>
      </c>
      <c r="H54" s="20"/>
      <c r="I54" s="20" t="s">
        <v>657</v>
      </c>
      <c r="J54" s="20" t="s">
        <v>658</v>
      </c>
      <c r="K54" s="22" t="s">
        <v>659</v>
      </c>
      <c r="L54" s="22" t="s">
        <v>660</v>
      </c>
      <c r="M54" s="22" t="s">
        <v>298</v>
      </c>
      <c r="N54" s="22" t="s">
        <v>661</v>
      </c>
      <c r="O54" s="20" t="s">
        <v>662</v>
      </c>
      <c r="P54" s="24"/>
      <c r="Q54" s="24"/>
      <c r="R54" s="24"/>
      <c r="S54" s="24"/>
    </row>
    <row r="55" customFormat="false" ht="26.85" hidden="false" customHeight="false" outlineLevel="0" collapsed="false">
      <c r="A55" s="20" t="n">
        <v>54</v>
      </c>
      <c r="B55" s="25" t="s">
        <v>5</v>
      </c>
      <c r="C55" s="22" t="s">
        <v>22</v>
      </c>
      <c r="D55" s="20" t="s">
        <v>115</v>
      </c>
      <c r="E55" s="20" t="s">
        <v>663</v>
      </c>
      <c r="F55" s="20" t="s">
        <v>664</v>
      </c>
      <c r="G55" s="23" t="s">
        <v>116</v>
      </c>
      <c r="H55" s="20"/>
      <c r="I55" s="20" t="s">
        <v>665</v>
      </c>
      <c r="J55" s="20" t="s">
        <v>666</v>
      </c>
      <c r="K55" s="20" t="s">
        <v>667</v>
      </c>
      <c r="L55" s="22" t="s">
        <v>335</v>
      </c>
      <c r="M55" s="22" t="s">
        <v>328</v>
      </c>
      <c r="N55" s="22" t="s">
        <v>668</v>
      </c>
      <c r="O55" s="20" t="s">
        <v>669</v>
      </c>
      <c r="P55" s="24"/>
      <c r="Q55" s="24"/>
      <c r="R55" s="24"/>
      <c r="S55" s="24"/>
    </row>
    <row r="56" customFormat="false" ht="26.85" hidden="false" customHeight="false" outlineLevel="0" collapsed="false">
      <c r="A56" s="20" t="n">
        <v>55</v>
      </c>
      <c r="B56" s="25" t="s">
        <v>5</v>
      </c>
      <c r="C56" s="22" t="s">
        <v>22</v>
      </c>
      <c r="D56" s="20" t="s">
        <v>117</v>
      </c>
      <c r="E56" s="20" t="s">
        <v>654</v>
      </c>
      <c r="F56" s="20" t="s">
        <v>670</v>
      </c>
      <c r="G56" s="23" t="s">
        <v>671</v>
      </c>
      <c r="H56" s="20"/>
      <c r="I56" s="20" t="s">
        <v>672</v>
      </c>
      <c r="J56" s="20" t="s">
        <v>673</v>
      </c>
      <c r="K56" s="20" t="s">
        <v>674</v>
      </c>
      <c r="L56" s="22" t="s">
        <v>675</v>
      </c>
      <c r="M56" s="22" t="s">
        <v>328</v>
      </c>
      <c r="N56" s="22" t="s">
        <v>676</v>
      </c>
      <c r="O56" s="20" t="s">
        <v>677</v>
      </c>
      <c r="P56" s="24"/>
      <c r="Q56" s="24"/>
      <c r="R56" s="24"/>
      <c r="S56" s="24"/>
    </row>
    <row r="57" customFormat="false" ht="26.85" hidden="false" customHeight="false" outlineLevel="0" collapsed="false">
      <c r="A57" s="20" t="n">
        <v>56</v>
      </c>
      <c r="B57" s="25" t="s">
        <v>5</v>
      </c>
      <c r="C57" s="22" t="s">
        <v>22</v>
      </c>
      <c r="D57" s="20" t="s">
        <v>120</v>
      </c>
      <c r="E57" s="20" t="s">
        <v>678</v>
      </c>
      <c r="F57" s="20" t="s">
        <v>679</v>
      </c>
      <c r="G57" s="23" t="s">
        <v>121</v>
      </c>
      <c r="H57" s="20"/>
      <c r="I57" s="20" t="s">
        <v>679</v>
      </c>
      <c r="J57" s="20" t="s">
        <v>680</v>
      </c>
      <c r="K57" s="22" t="s">
        <v>681</v>
      </c>
      <c r="L57" s="22" t="s">
        <v>335</v>
      </c>
      <c r="M57" s="22" t="s">
        <v>328</v>
      </c>
      <c r="N57" s="22" t="s">
        <v>682</v>
      </c>
      <c r="O57" s="20" t="s">
        <v>683</v>
      </c>
      <c r="P57" s="24"/>
      <c r="Q57" s="24"/>
      <c r="R57" s="24"/>
      <c r="S57" s="24"/>
    </row>
    <row r="58" customFormat="false" ht="26.85" hidden="false" customHeight="false" outlineLevel="0" collapsed="false">
      <c r="A58" s="20" t="n">
        <v>57</v>
      </c>
      <c r="B58" s="25" t="s">
        <v>5</v>
      </c>
      <c r="C58" s="22" t="s">
        <v>23</v>
      </c>
      <c r="D58" s="20" t="s">
        <v>133</v>
      </c>
      <c r="E58" s="20" t="s">
        <v>684</v>
      </c>
      <c r="F58" s="20" t="s">
        <v>685</v>
      </c>
      <c r="G58" s="23" t="s">
        <v>134</v>
      </c>
      <c r="H58" s="20"/>
      <c r="I58" s="20" t="s">
        <v>685</v>
      </c>
      <c r="J58" s="20"/>
      <c r="K58" s="20" t="s">
        <v>686</v>
      </c>
      <c r="L58" s="22" t="s">
        <v>687</v>
      </c>
      <c r="M58" s="22" t="s">
        <v>328</v>
      </c>
      <c r="N58" s="22" t="s">
        <v>688</v>
      </c>
      <c r="O58" s="20" t="s">
        <v>689</v>
      </c>
      <c r="P58" s="24"/>
      <c r="Q58" s="24"/>
      <c r="R58" s="24"/>
      <c r="S58" s="24"/>
    </row>
    <row r="59" customFormat="false" ht="23.85" hidden="false" customHeight="false" outlineLevel="0" collapsed="false">
      <c r="A59" s="20" t="n">
        <v>58</v>
      </c>
      <c r="B59" s="25" t="s">
        <v>5</v>
      </c>
      <c r="C59" s="22" t="s">
        <v>23</v>
      </c>
      <c r="D59" s="20" t="s">
        <v>135</v>
      </c>
      <c r="E59" s="20" t="s">
        <v>690</v>
      </c>
      <c r="F59" s="20" t="s">
        <v>691</v>
      </c>
      <c r="G59" s="23" t="s">
        <v>136</v>
      </c>
      <c r="H59" s="20"/>
      <c r="I59" s="20" t="s">
        <v>692</v>
      </c>
      <c r="J59" s="20" t="s">
        <v>693</v>
      </c>
      <c r="K59" s="20" t="s">
        <v>694</v>
      </c>
      <c r="L59" s="22" t="s">
        <v>343</v>
      </c>
      <c r="M59" s="22" t="s">
        <v>328</v>
      </c>
      <c r="N59" s="22" t="s">
        <v>695</v>
      </c>
      <c r="O59" s="20" t="s">
        <v>696</v>
      </c>
      <c r="P59" s="24"/>
      <c r="Q59" s="24"/>
      <c r="R59" s="24"/>
      <c r="S59" s="24"/>
    </row>
    <row r="60" customFormat="false" ht="23.85" hidden="false" customHeight="false" outlineLevel="0" collapsed="false">
      <c r="A60" s="20" t="n">
        <v>59</v>
      </c>
      <c r="B60" s="25" t="s">
        <v>5</v>
      </c>
      <c r="C60" s="22" t="s">
        <v>23</v>
      </c>
      <c r="D60" s="20" t="s">
        <v>137</v>
      </c>
      <c r="E60" s="20"/>
      <c r="F60" s="20" t="s">
        <v>697</v>
      </c>
      <c r="G60" s="23" t="s">
        <v>138</v>
      </c>
      <c r="H60" s="20"/>
      <c r="I60" s="20" t="s">
        <v>698</v>
      </c>
      <c r="J60" s="20" t="s">
        <v>699</v>
      </c>
      <c r="K60" s="20" t="s">
        <v>700</v>
      </c>
      <c r="L60" s="22" t="s">
        <v>343</v>
      </c>
      <c r="M60" s="22" t="s">
        <v>328</v>
      </c>
      <c r="N60" s="22" t="s">
        <v>701</v>
      </c>
      <c r="O60" s="20" t="s">
        <v>702</v>
      </c>
      <c r="P60" s="24"/>
      <c r="Q60" s="24"/>
      <c r="R60" s="24"/>
      <c r="S60" s="24"/>
    </row>
    <row r="61" customFormat="false" ht="23.85" hidden="false" customHeight="false" outlineLevel="0" collapsed="false">
      <c r="A61" s="20" t="n">
        <v>60</v>
      </c>
      <c r="B61" s="25" t="s">
        <v>5</v>
      </c>
      <c r="C61" s="22" t="s">
        <v>23</v>
      </c>
      <c r="D61" s="20" t="s">
        <v>139</v>
      </c>
      <c r="E61" s="20" t="s">
        <v>703</v>
      </c>
      <c r="F61" s="20"/>
      <c r="G61" s="23" t="s">
        <v>704</v>
      </c>
      <c r="H61" s="20"/>
      <c r="I61" s="20" t="s">
        <v>705</v>
      </c>
      <c r="J61" s="20" t="s">
        <v>706</v>
      </c>
      <c r="K61" s="22" t="s">
        <v>707</v>
      </c>
      <c r="L61" s="22" t="s">
        <v>708</v>
      </c>
      <c r="M61" s="22" t="s">
        <v>328</v>
      </c>
      <c r="N61" s="22" t="s">
        <v>709</v>
      </c>
      <c r="O61" s="20" t="s">
        <v>710</v>
      </c>
      <c r="P61" s="24"/>
      <c r="Q61" s="24"/>
      <c r="R61" s="24"/>
      <c r="S61" s="24"/>
    </row>
    <row r="62" customFormat="false" ht="38.05" hidden="false" customHeight="false" outlineLevel="0" collapsed="false">
      <c r="A62" s="20" t="n">
        <v>61</v>
      </c>
      <c r="B62" s="26" t="s">
        <v>7</v>
      </c>
      <c r="C62" s="22" t="s">
        <v>23</v>
      </c>
      <c r="D62" s="20" t="s">
        <v>222</v>
      </c>
      <c r="E62" s="20" t="s">
        <v>711</v>
      </c>
      <c r="F62" s="20" t="s">
        <v>712</v>
      </c>
      <c r="G62" s="23" t="s">
        <v>713</v>
      </c>
      <c r="H62" s="20" t="s">
        <v>714</v>
      </c>
      <c r="I62" s="20" t="s">
        <v>715</v>
      </c>
      <c r="J62" s="22" t="s">
        <v>716</v>
      </c>
      <c r="K62" s="20" t="s">
        <v>717</v>
      </c>
      <c r="L62" s="22" t="s">
        <v>718</v>
      </c>
      <c r="M62" s="22" t="s">
        <v>455</v>
      </c>
      <c r="N62" s="20" t="s">
        <v>719</v>
      </c>
      <c r="O62" s="20" t="s">
        <v>720</v>
      </c>
      <c r="P62" s="24"/>
      <c r="Q62" s="24"/>
      <c r="R62" s="24"/>
      <c r="S62" s="24"/>
    </row>
    <row r="63" customFormat="false" ht="23.85" hidden="false" customHeight="false" outlineLevel="0" collapsed="false">
      <c r="A63" s="20" t="n">
        <v>62</v>
      </c>
      <c r="B63" s="25" t="s">
        <v>5</v>
      </c>
      <c r="C63" s="22" t="s">
        <v>24</v>
      </c>
      <c r="D63" s="20" t="s">
        <v>205</v>
      </c>
      <c r="E63" s="20" t="s">
        <v>721</v>
      </c>
      <c r="F63" s="20"/>
      <c r="G63" s="23" t="s">
        <v>722</v>
      </c>
      <c r="H63" s="20"/>
      <c r="I63" s="20" t="s">
        <v>723</v>
      </c>
      <c r="J63" s="20" t="s">
        <v>724</v>
      </c>
      <c r="K63" s="22" t="s">
        <v>725</v>
      </c>
      <c r="L63" s="22" t="s">
        <v>335</v>
      </c>
      <c r="M63" s="22" t="s">
        <v>328</v>
      </c>
      <c r="N63" s="22" t="s">
        <v>726</v>
      </c>
      <c r="O63" s="20" t="s">
        <v>727</v>
      </c>
      <c r="P63" s="24"/>
      <c r="Q63" s="24"/>
      <c r="R63" s="24"/>
      <c r="S63" s="24"/>
    </row>
    <row r="64" customFormat="false" ht="26.85" hidden="false" customHeight="false" outlineLevel="0" collapsed="false">
      <c r="A64" s="20" t="n">
        <v>63</v>
      </c>
      <c r="B64" s="26" t="s">
        <v>7</v>
      </c>
      <c r="C64" s="22" t="s">
        <v>24</v>
      </c>
      <c r="D64" s="20" t="s">
        <v>273</v>
      </c>
      <c r="E64" s="20" t="s">
        <v>728</v>
      </c>
      <c r="F64" s="20" t="s">
        <v>729</v>
      </c>
      <c r="G64" s="23" t="s">
        <v>274</v>
      </c>
      <c r="H64" s="20"/>
      <c r="I64" s="20" t="s">
        <v>730</v>
      </c>
      <c r="J64" s="22" t="s">
        <v>731</v>
      </c>
      <c r="K64" s="20" t="s">
        <v>732</v>
      </c>
      <c r="L64" s="22" t="s">
        <v>733</v>
      </c>
      <c r="M64" s="22" t="s">
        <v>455</v>
      </c>
      <c r="N64" s="20" t="s">
        <v>734</v>
      </c>
      <c r="O64" s="20" t="s">
        <v>735</v>
      </c>
      <c r="P64" s="24"/>
      <c r="Q64" s="24"/>
      <c r="R64" s="24"/>
      <c r="S64" s="24"/>
    </row>
    <row r="65" customFormat="false" ht="23.85" hidden="false" customHeight="false" outlineLevel="0" collapsed="false">
      <c r="A65" s="20" t="n">
        <v>64</v>
      </c>
      <c r="B65" s="26" t="s">
        <v>7</v>
      </c>
      <c r="C65" s="22" t="s">
        <v>24</v>
      </c>
      <c r="D65" s="20" t="s">
        <v>275</v>
      </c>
      <c r="E65" s="20" t="s">
        <v>736</v>
      </c>
      <c r="F65" s="20"/>
      <c r="G65" s="23" t="s">
        <v>276</v>
      </c>
      <c r="H65" s="20" t="s">
        <v>737</v>
      </c>
      <c r="I65" s="20" t="s">
        <v>738</v>
      </c>
      <c r="J65" s="20" t="s">
        <v>739</v>
      </c>
      <c r="K65" s="22" t="s">
        <v>740</v>
      </c>
      <c r="L65" s="22" t="s">
        <v>404</v>
      </c>
      <c r="M65" s="22" t="s">
        <v>356</v>
      </c>
      <c r="N65" s="22" t="s">
        <v>509</v>
      </c>
      <c r="O65" s="20" t="s">
        <v>741</v>
      </c>
      <c r="P65" s="24"/>
      <c r="Q65" s="24"/>
      <c r="R65" s="24"/>
      <c r="S65" s="24"/>
    </row>
    <row r="66" customFormat="false" ht="23.85" hidden="false" customHeight="false" outlineLevel="0" collapsed="false">
      <c r="A66" s="20" t="n">
        <v>65</v>
      </c>
      <c r="B66" s="21" t="s">
        <v>3</v>
      </c>
      <c r="C66" s="22" t="s">
        <v>25</v>
      </c>
      <c r="D66" s="20" t="s">
        <v>99</v>
      </c>
      <c r="E66" s="20" t="s">
        <v>742</v>
      </c>
      <c r="F66" s="20" t="s">
        <v>743</v>
      </c>
      <c r="G66" s="23" t="s">
        <v>744</v>
      </c>
      <c r="H66" s="20"/>
      <c r="I66" s="20" t="s">
        <v>745</v>
      </c>
      <c r="J66" s="20" t="s">
        <v>746</v>
      </c>
      <c r="K66" s="20" t="s">
        <v>747</v>
      </c>
      <c r="L66" s="22" t="s">
        <v>748</v>
      </c>
      <c r="M66" s="22" t="s">
        <v>298</v>
      </c>
      <c r="N66" s="22" t="s">
        <v>749</v>
      </c>
      <c r="O66" s="20" t="s">
        <v>750</v>
      </c>
      <c r="P66" s="24"/>
      <c r="Q66" s="24"/>
      <c r="R66" s="24"/>
      <c r="S66" s="24"/>
    </row>
    <row r="67" customFormat="false" ht="23.85" hidden="false" customHeight="false" outlineLevel="0" collapsed="false">
      <c r="A67" s="20" t="n">
        <v>66</v>
      </c>
      <c r="B67" s="21" t="s">
        <v>3</v>
      </c>
      <c r="C67" s="22" t="s">
        <v>25</v>
      </c>
      <c r="D67" s="20" t="s">
        <v>102</v>
      </c>
      <c r="E67" s="20" t="s">
        <v>751</v>
      </c>
      <c r="F67" s="20" t="s">
        <v>752</v>
      </c>
      <c r="G67" s="23" t="s">
        <v>103</v>
      </c>
      <c r="H67" s="20" t="s">
        <v>753</v>
      </c>
      <c r="I67" s="20" t="s">
        <v>754</v>
      </c>
      <c r="J67" s="20"/>
      <c r="K67" s="20" t="s">
        <v>755</v>
      </c>
      <c r="L67" s="22" t="s">
        <v>575</v>
      </c>
      <c r="M67" s="22" t="s">
        <v>298</v>
      </c>
      <c r="N67" s="20" t="s">
        <v>756</v>
      </c>
      <c r="O67" s="20" t="s">
        <v>757</v>
      </c>
      <c r="P67" s="24"/>
      <c r="Q67" s="24"/>
      <c r="R67" s="24"/>
      <c r="S67" s="24"/>
    </row>
    <row r="68" customFormat="false" ht="35.05" hidden="false" customHeight="false" outlineLevel="0" collapsed="false">
      <c r="A68" s="20" t="n">
        <v>67</v>
      </c>
      <c r="B68" s="21" t="s">
        <v>3</v>
      </c>
      <c r="C68" s="22" t="s">
        <v>25</v>
      </c>
      <c r="D68" s="20" t="s">
        <v>104</v>
      </c>
      <c r="E68" s="20" t="s">
        <v>758</v>
      </c>
      <c r="F68" s="20" t="s">
        <v>759</v>
      </c>
      <c r="G68" s="23" t="s">
        <v>760</v>
      </c>
      <c r="H68" s="20"/>
      <c r="I68" s="20" t="s">
        <v>761</v>
      </c>
      <c r="J68" s="20" t="s">
        <v>762</v>
      </c>
      <c r="K68" s="20" t="s">
        <v>763</v>
      </c>
      <c r="L68" s="22" t="s">
        <v>335</v>
      </c>
      <c r="M68" s="22" t="s">
        <v>298</v>
      </c>
      <c r="N68" s="20" t="s">
        <v>764</v>
      </c>
      <c r="O68" s="20" t="s">
        <v>765</v>
      </c>
      <c r="P68" s="24"/>
      <c r="Q68" s="24"/>
      <c r="R68" s="24"/>
      <c r="S68" s="24"/>
    </row>
    <row r="69" customFormat="false" ht="23.85" hidden="false" customHeight="false" outlineLevel="0" collapsed="false">
      <c r="A69" s="20" t="n">
        <v>68</v>
      </c>
      <c r="B69" s="25" t="s">
        <v>5</v>
      </c>
      <c r="C69" s="22" t="s">
        <v>25</v>
      </c>
      <c r="D69" s="20" t="s">
        <v>199</v>
      </c>
      <c r="E69" s="20" t="s">
        <v>766</v>
      </c>
      <c r="F69" s="20" t="s">
        <v>767</v>
      </c>
      <c r="G69" s="23" t="s">
        <v>200</v>
      </c>
      <c r="H69" s="20" t="s">
        <v>768</v>
      </c>
      <c r="I69" s="22" t="s">
        <v>295</v>
      </c>
      <c r="J69" s="20"/>
      <c r="K69" s="20" t="s">
        <v>769</v>
      </c>
      <c r="L69" s="22" t="s">
        <v>372</v>
      </c>
      <c r="M69" s="22" t="s">
        <v>313</v>
      </c>
      <c r="N69" s="20" t="s">
        <v>770</v>
      </c>
      <c r="O69" s="20" t="s">
        <v>771</v>
      </c>
      <c r="P69" s="24"/>
      <c r="Q69" s="24"/>
      <c r="R69" s="24"/>
      <c r="S69" s="24"/>
    </row>
    <row r="70" customFormat="false" ht="26.85" hidden="false" customHeight="false" outlineLevel="0" collapsed="false">
      <c r="A70" s="20" t="n">
        <v>69</v>
      </c>
      <c r="B70" s="25" t="s">
        <v>5</v>
      </c>
      <c r="C70" s="22" t="s">
        <v>25</v>
      </c>
      <c r="D70" s="20" t="s">
        <v>201</v>
      </c>
      <c r="E70" s="20" t="s">
        <v>772</v>
      </c>
      <c r="F70" s="20" t="s">
        <v>773</v>
      </c>
      <c r="G70" s="23" t="s">
        <v>202</v>
      </c>
      <c r="H70" s="20" t="s">
        <v>774</v>
      </c>
      <c r="I70" s="20" t="s">
        <v>775</v>
      </c>
      <c r="J70" s="20" t="s">
        <v>776</v>
      </c>
      <c r="K70" s="22" t="s">
        <v>777</v>
      </c>
      <c r="L70" s="22" t="s">
        <v>379</v>
      </c>
      <c r="M70" s="22" t="s">
        <v>328</v>
      </c>
      <c r="N70" s="22" t="s">
        <v>778</v>
      </c>
      <c r="O70" s="20" t="s">
        <v>779</v>
      </c>
      <c r="P70" s="24"/>
      <c r="Q70" s="24"/>
      <c r="R70" s="24"/>
      <c r="S70" s="24"/>
    </row>
    <row r="71" customFormat="false" ht="26.85" hidden="false" customHeight="false" outlineLevel="0" collapsed="false">
      <c r="A71" s="20" t="n">
        <v>70</v>
      </c>
      <c r="B71" s="25" t="s">
        <v>5</v>
      </c>
      <c r="C71" s="22" t="s">
        <v>25</v>
      </c>
      <c r="D71" s="20" t="s">
        <v>203</v>
      </c>
      <c r="E71" s="20" t="s">
        <v>780</v>
      </c>
      <c r="F71" s="20" t="s">
        <v>781</v>
      </c>
      <c r="G71" s="23" t="s">
        <v>204</v>
      </c>
      <c r="H71" s="20" t="s">
        <v>782</v>
      </c>
      <c r="I71" s="20" t="s">
        <v>781</v>
      </c>
      <c r="J71" s="20" t="s">
        <v>783</v>
      </c>
      <c r="K71" s="22" t="s">
        <v>784</v>
      </c>
      <c r="L71" s="22" t="s">
        <v>372</v>
      </c>
      <c r="M71" s="22" t="s">
        <v>328</v>
      </c>
      <c r="N71" s="22" t="s">
        <v>785</v>
      </c>
      <c r="O71" s="20" t="s">
        <v>786</v>
      </c>
      <c r="P71" s="24"/>
      <c r="Q71" s="24"/>
      <c r="R71" s="24"/>
      <c r="S71" s="24"/>
    </row>
    <row r="72" customFormat="false" ht="38.05" hidden="false" customHeight="false" outlineLevel="0" collapsed="false">
      <c r="A72" s="20" t="n">
        <v>71</v>
      </c>
      <c r="B72" s="25" t="s">
        <v>5</v>
      </c>
      <c r="C72" s="22" t="s">
        <v>16</v>
      </c>
      <c r="D72" s="20" t="s">
        <v>170</v>
      </c>
      <c r="E72" s="20" t="s">
        <v>787</v>
      </c>
      <c r="F72" s="20" t="s">
        <v>788</v>
      </c>
      <c r="G72" s="23" t="s">
        <v>171</v>
      </c>
      <c r="H72" s="20"/>
      <c r="I72" s="20" t="s">
        <v>788</v>
      </c>
      <c r="J72" s="22" t="s">
        <v>789</v>
      </c>
      <c r="K72" s="20" t="s">
        <v>790</v>
      </c>
      <c r="L72" s="22" t="s">
        <v>343</v>
      </c>
      <c r="M72" s="22" t="s">
        <v>328</v>
      </c>
      <c r="N72" s="22" t="s">
        <v>791</v>
      </c>
      <c r="O72" s="20" t="s">
        <v>792</v>
      </c>
      <c r="P72" s="24"/>
      <c r="Q72" s="24"/>
      <c r="R72" s="24"/>
      <c r="S72" s="24"/>
    </row>
    <row r="73" customFormat="false" ht="25.35" hidden="false" customHeight="false" outlineLevel="0" collapsed="false">
      <c r="A73" s="20" t="n">
        <v>72</v>
      </c>
      <c r="B73" s="26" t="s">
        <v>7</v>
      </c>
      <c r="C73" s="22" t="s">
        <v>25</v>
      </c>
      <c r="D73" s="20" t="s">
        <v>793</v>
      </c>
      <c r="E73" s="20" t="s">
        <v>794</v>
      </c>
      <c r="F73" s="20" t="s">
        <v>795</v>
      </c>
      <c r="G73" s="23"/>
      <c r="H73" s="20" t="s">
        <v>796</v>
      </c>
      <c r="I73" s="20"/>
      <c r="J73" s="22" t="s">
        <v>797</v>
      </c>
      <c r="K73" s="20" t="s">
        <v>798</v>
      </c>
      <c r="L73" s="22" t="s">
        <v>343</v>
      </c>
      <c r="M73" s="22" t="s">
        <v>356</v>
      </c>
      <c r="N73" s="22" t="s">
        <v>799</v>
      </c>
      <c r="O73" s="20" t="s">
        <v>800</v>
      </c>
      <c r="P73" s="24"/>
      <c r="Q73" s="24"/>
      <c r="R73" s="24"/>
      <c r="S73" s="24"/>
    </row>
    <row r="74" customFormat="false" ht="23.85" hidden="false" customHeight="false" outlineLevel="0" collapsed="false">
      <c r="A74" s="20" t="n">
        <v>73</v>
      </c>
      <c r="B74" s="26" t="s">
        <v>7</v>
      </c>
      <c r="C74" s="22" t="s">
        <v>25</v>
      </c>
      <c r="D74" s="20" t="s">
        <v>271</v>
      </c>
      <c r="E74" s="20" t="s">
        <v>794</v>
      </c>
      <c r="F74" s="20" t="s">
        <v>801</v>
      </c>
      <c r="G74" s="23" t="s">
        <v>272</v>
      </c>
      <c r="H74" s="20"/>
      <c r="I74" s="22" t="s">
        <v>295</v>
      </c>
      <c r="J74" s="20"/>
      <c r="K74" s="20" t="s">
        <v>802</v>
      </c>
      <c r="L74" s="22" t="s">
        <v>349</v>
      </c>
      <c r="M74" s="22" t="s">
        <v>356</v>
      </c>
      <c r="N74" s="22" t="s">
        <v>803</v>
      </c>
      <c r="O74" s="20" t="s">
        <v>804</v>
      </c>
      <c r="P74" s="24"/>
      <c r="Q74" s="24"/>
      <c r="R74" s="24"/>
      <c r="S74" s="24"/>
    </row>
    <row r="75" customFormat="false" ht="26.85" hidden="false" customHeight="false" outlineLevel="0" collapsed="false">
      <c r="A75" s="20" t="n">
        <v>74</v>
      </c>
      <c r="B75" s="21" t="s">
        <v>3</v>
      </c>
      <c r="C75" s="22" t="s">
        <v>26</v>
      </c>
      <c r="D75" s="20" t="s">
        <v>73</v>
      </c>
      <c r="E75" s="20" t="s">
        <v>805</v>
      </c>
      <c r="F75" s="20" t="s">
        <v>806</v>
      </c>
      <c r="G75" s="23" t="s">
        <v>74</v>
      </c>
      <c r="H75" s="20" t="s">
        <v>807</v>
      </c>
      <c r="I75" s="22" t="s">
        <v>295</v>
      </c>
      <c r="J75" s="20"/>
      <c r="K75" s="20" t="s">
        <v>808</v>
      </c>
      <c r="L75" s="22" t="s">
        <v>809</v>
      </c>
      <c r="M75" s="22" t="s">
        <v>298</v>
      </c>
      <c r="N75" s="22" t="s">
        <v>810</v>
      </c>
      <c r="O75" s="20" t="s">
        <v>811</v>
      </c>
      <c r="P75" s="24"/>
      <c r="Q75" s="24"/>
      <c r="R75" s="24"/>
      <c r="S75" s="24"/>
    </row>
    <row r="76" customFormat="false" ht="15" hidden="false" customHeight="false" outlineLevel="0" collapsed="false">
      <c r="A76" s="20" t="n">
        <v>75</v>
      </c>
      <c r="B76" s="21" t="s">
        <v>3</v>
      </c>
      <c r="C76" s="22" t="s">
        <v>26</v>
      </c>
      <c r="D76" s="20" t="s">
        <v>75</v>
      </c>
      <c r="E76" s="20" t="s">
        <v>805</v>
      </c>
      <c r="F76" s="20" t="s">
        <v>812</v>
      </c>
      <c r="G76" s="23" t="s">
        <v>76</v>
      </c>
      <c r="H76" s="20" t="s">
        <v>813</v>
      </c>
      <c r="I76" s="22" t="s">
        <v>295</v>
      </c>
      <c r="J76" s="20"/>
      <c r="K76" s="20" t="s">
        <v>814</v>
      </c>
      <c r="L76" s="22" t="s">
        <v>718</v>
      </c>
      <c r="M76" s="22" t="s">
        <v>298</v>
      </c>
      <c r="N76" s="22" t="s">
        <v>815</v>
      </c>
      <c r="O76" s="20" t="s">
        <v>816</v>
      </c>
      <c r="P76" s="24"/>
      <c r="Q76" s="24"/>
      <c r="R76" s="24"/>
      <c r="S76" s="24"/>
    </row>
    <row r="77" customFormat="false" ht="15" hidden="false" customHeight="false" outlineLevel="0" collapsed="false">
      <c r="A77" s="20" t="n">
        <v>76</v>
      </c>
      <c r="B77" s="21" t="s">
        <v>3</v>
      </c>
      <c r="C77" s="22" t="s">
        <v>26</v>
      </c>
      <c r="D77" s="20" t="s">
        <v>77</v>
      </c>
      <c r="E77" s="20" t="s">
        <v>817</v>
      </c>
      <c r="F77" s="20" t="s">
        <v>818</v>
      </c>
      <c r="G77" s="23" t="s">
        <v>78</v>
      </c>
      <c r="H77" s="20"/>
      <c r="I77" s="20" t="s">
        <v>818</v>
      </c>
      <c r="J77" s="20" t="s">
        <v>819</v>
      </c>
      <c r="K77" s="20" t="s">
        <v>820</v>
      </c>
      <c r="L77" s="22" t="s">
        <v>349</v>
      </c>
      <c r="M77" s="22" t="s">
        <v>298</v>
      </c>
      <c r="N77" s="22" t="s">
        <v>821</v>
      </c>
      <c r="O77" s="20" t="s">
        <v>822</v>
      </c>
      <c r="P77" s="24"/>
      <c r="Q77" s="24"/>
      <c r="R77" s="24"/>
      <c r="S77" s="24"/>
    </row>
    <row r="78" customFormat="false" ht="26.85" hidden="false" customHeight="false" outlineLevel="0" collapsed="false">
      <c r="A78" s="20" t="n">
        <v>77</v>
      </c>
      <c r="B78" s="25" t="s">
        <v>5</v>
      </c>
      <c r="C78" s="22" t="s">
        <v>26</v>
      </c>
      <c r="D78" s="20" t="s">
        <v>174</v>
      </c>
      <c r="E78" s="20" t="s">
        <v>823</v>
      </c>
      <c r="F78" s="20" t="s">
        <v>824</v>
      </c>
      <c r="G78" s="23" t="s">
        <v>175</v>
      </c>
      <c r="H78" s="20" t="s">
        <v>825</v>
      </c>
      <c r="I78" s="22" t="s">
        <v>295</v>
      </c>
      <c r="J78" s="20"/>
      <c r="K78" s="20" t="s">
        <v>826</v>
      </c>
      <c r="L78" s="22" t="s">
        <v>349</v>
      </c>
      <c r="M78" s="22" t="s">
        <v>328</v>
      </c>
      <c r="N78" s="22" t="s">
        <v>827</v>
      </c>
      <c r="O78" s="20" t="s">
        <v>828</v>
      </c>
      <c r="P78" s="24"/>
      <c r="Q78" s="24"/>
      <c r="R78" s="24"/>
      <c r="S78" s="24"/>
    </row>
    <row r="79" customFormat="false" ht="23.85" hidden="false" customHeight="false" outlineLevel="0" collapsed="false">
      <c r="A79" s="20" t="n">
        <v>78</v>
      </c>
      <c r="B79" s="25" t="s">
        <v>5</v>
      </c>
      <c r="C79" s="22" t="s">
        <v>26</v>
      </c>
      <c r="D79" s="20" t="s">
        <v>176</v>
      </c>
      <c r="E79" s="20" t="s">
        <v>829</v>
      </c>
      <c r="F79" s="20" t="s">
        <v>830</v>
      </c>
      <c r="G79" s="23" t="s">
        <v>177</v>
      </c>
      <c r="H79" s="20" t="s">
        <v>831</v>
      </c>
      <c r="I79" s="22" t="s">
        <v>295</v>
      </c>
      <c r="J79" s="20"/>
      <c r="K79" s="20" t="s">
        <v>832</v>
      </c>
      <c r="L79" s="22" t="s">
        <v>343</v>
      </c>
      <c r="M79" s="22" t="s">
        <v>328</v>
      </c>
      <c r="N79" s="22" t="s">
        <v>833</v>
      </c>
      <c r="O79" s="20" t="s">
        <v>834</v>
      </c>
      <c r="P79" s="24"/>
      <c r="Q79" s="24"/>
      <c r="R79" s="24"/>
      <c r="S79" s="24"/>
    </row>
    <row r="80" customFormat="false" ht="23.85" hidden="false" customHeight="false" outlineLevel="0" collapsed="false">
      <c r="A80" s="20" t="n">
        <v>79</v>
      </c>
      <c r="B80" s="26" t="s">
        <v>7</v>
      </c>
      <c r="C80" s="22" t="s">
        <v>26</v>
      </c>
      <c r="D80" s="20" t="s">
        <v>249</v>
      </c>
      <c r="E80" s="20" t="s">
        <v>835</v>
      </c>
      <c r="F80" s="20"/>
      <c r="G80" s="23" t="s">
        <v>836</v>
      </c>
      <c r="H80" s="20"/>
      <c r="I80" s="20" t="s">
        <v>837</v>
      </c>
      <c r="J80" s="20" t="s">
        <v>838</v>
      </c>
      <c r="K80" s="20" t="s">
        <v>839</v>
      </c>
      <c r="L80" s="22" t="s">
        <v>343</v>
      </c>
      <c r="M80" s="22" t="s">
        <v>356</v>
      </c>
      <c r="N80" s="22" t="s">
        <v>840</v>
      </c>
      <c r="O80" s="20" t="s">
        <v>841</v>
      </c>
      <c r="P80" s="24"/>
      <c r="Q80" s="24"/>
      <c r="R80" s="24"/>
      <c r="S80" s="24"/>
    </row>
    <row r="81" customFormat="false" ht="15" hidden="false" customHeight="false" outlineLevel="0" collapsed="false">
      <c r="A81" s="20" t="n">
        <v>80</v>
      </c>
      <c r="B81" s="26" t="s">
        <v>7</v>
      </c>
      <c r="C81" s="22" t="s">
        <v>26</v>
      </c>
      <c r="D81" s="20" t="s">
        <v>252</v>
      </c>
      <c r="E81" s="20" t="s">
        <v>805</v>
      </c>
      <c r="F81" s="20" t="s">
        <v>842</v>
      </c>
      <c r="G81" s="23" t="s">
        <v>253</v>
      </c>
      <c r="H81" s="20"/>
      <c r="I81" s="22" t="s">
        <v>295</v>
      </c>
      <c r="J81" s="20"/>
      <c r="K81" s="22" t="s">
        <v>843</v>
      </c>
      <c r="L81" s="22" t="s">
        <v>343</v>
      </c>
      <c r="M81" s="22" t="s">
        <v>356</v>
      </c>
      <c r="N81" s="20" t="s">
        <v>844</v>
      </c>
      <c r="O81" s="20" t="s">
        <v>845</v>
      </c>
      <c r="P81" s="24"/>
      <c r="Q81" s="24"/>
      <c r="R81" s="24"/>
      <c r="S81" s="24"/>
    </row>
    <row r="82" customFormat="false" ht="15" hidden="false" customHeight="false" outlineLevel="0" collapsed="false">
      <c r="A82" s="20" t="n">
        <v>81</v>
      </c>
      <c r="B82" s="26" t="s">
        <v>7</v>
      </c>
      <c r="C82" s="22" t="s">
        <v>26</v>
      </c>
      <c r="D82" s="20" t="s">
        <v>254</v>
      </c>
      <c r="E82" s="20" t="s">
        <v>817</v>
      </c>
      <c r="F82" s="20" t="s">
        <v>846</v>
      </c>
      <c r="G82" s="23" t="s">
        <v>255</v>
      </c>
      <c r="H82" s="20"/>
      <c r="I82" s="20" t="s">
        <v>847</v>
      </c>
      <c r="J82" s="22" t="s">
        <v>848</v>
      </c>
      <c r="K82" s="20" t="s">
        <v>849</v>
      </c>
      <c r="L82" s="22" t="s">
        <v>850</v>
      </c>
      <c r="M82" s="22" t="s">
        <v>455</v>
      </c>
      <c r="N82" s="22" t="s">
        <v>851</v>
      </c>
      <c r="O82" s="20" t="s">
        <v>852</v>
      </c>
      <c r="P82" s="24"/>
      <c r="Q82" s="24"/>
      <c r="R82" s="24"/>
      <c r="S82" s="24"/>
    </row>
    <row r="83" customFormat="false" ht="35.05" hidden="false" customHeight="false" outlineLevel="0" collapsed="false">
      <c r="A83" s="20" t="n">
        <v>82</v>
      </c>
      <c r="B83" s="21" t="s">
        <v>3</v>
      </c>
      <c r="C83" s="22" t="s">
        <v>27</v>
      </c>
      <c r="D83" s="20" t="s">
        <v>51</v>
      </c>
      <c r="E83" s="20" t="s">
        <v>853</v>
      </c>
      <c r="F83" s="20" t="s">
        <v>854</v>
      </c>
      <c r="G83" s="23" t="s">
        <v>855</v>
      </c>
      <c r="H83" s="20"/>
      <c r="I83" s="20" t="s">
        <v>856</v>
      </c>
      <c r="J83" s="22" t="s">
        <v>857</v>
      </c>
      <c r="K83" s="20" t="s">
        <v>858</v>
      </c>
      <c r="L83" s="20" t="s">
        <v>540</v>
      </c>
      <c r="M83" s="22" t="s">
        <v>298</v>
      </c>
      <c r="N83" s="22" t="s">
        <v>859</v>
      </c>
      <c r="O83" s="20" t="s">
        <v>860</v>
      </c>
      <c r="P83" s="24"/>
      <c r="Q83" s="24"/>
      <c r="R83" s="24"/>
      <c r="S83" s="24"/>
    </row>
    <row r="84" customFormat="false" ht="15" hidden="false" customHeight="false" outlineLevel="0" collapsed="false">
      <c r="A84" s="20" t="n">
        <v>83</v>
      </c>
      <c r="B84" s="21" t="s">
        <v>3</v>
      </c>
      <c r="C84" s="22" t="s">
        <v>27</v>
      </c>
      <c r="D84" s="20" t="s">
        <v>54</v>
      </c>
      <c r="E84" s="20" t="s">
        <v>861</v>
      </c>
      <c r="F84" s="20" t="s">
        <v>862</v>
      </c>
      <c r="G84" s="23" t="s">
        <v>55</v>
      </c>
      <c r="H84" s="20" t="s">
        <v>863</v>
      </c>
      <c r="I84" s="22" t="s">
        <v>295</v>
      </c>
      <c r="J84" s="20"/>
      <c r="K84" s="22" t="s">
        <v>864</v>
      </c>
      <c r="L84" s="22" t="s">
        <v>379</v>
      </c>
      <c r="M84" s="22" t="s">
        <v>313</v>
      </c>
      <c r="N84" s="22" t="s">
        <v>865</v>
      </c>
      <c r="O84" s="20" t="s">
        <v>866</v>
      </c>
      <c r="P84" s="24"/>
      <c r="Q84" s="24"/>
      <c r="R84" s="24"/>
      <c r="S84" s="24"/>
    </row>
    <row r="85" customFormat="false" ht="15" hidden="false" customHeight="false" outlineLevel="0" collapsed="false">
      <c r="A85" s="20" t="n">
        <v>84</v>
      </c>
      <c r="B85" s="25" t="s">
        <v>5</v>
      </c>
      <c r="C85" s="22" t="s">
        <v>27</v>
      </c>
      <c r="D85" s="20" t="s">
        <v>145</v>
      </c>
      <c r="E85" s="20" t="s">
        <v>861</v>
      </c>
      <c r="F85" s="20" t="s">
        <v>867</v>
      </c>
      <c r="G85" s="23" t="s">
        <v>146</v>
      </c>
      <c r="H85" s="20" t="s">
        <v>868</v>
      </c>
      <c r="I85" s="22" t="s">
        <v>295</v>
      </c>
      <c r="J85" s="20"/>
      <c r="K85" s="20" t="s">
        <v>869</v>
      </c>
      <c r="L85" s="22" t="s">
        <v>870</v>
      </c>
      <c r="M85" s="22" t="s">
        <v>313</v>
      </c>
      <c r="N85" s="22" t="s">
        <v>871</v>
      </c>
      <c r="O85" s="20" t="s">
        <v>872</v>
      </c>
      <c r="P85" s="24"/>
      <c r="Q85" s="24"/>
      <c r="R85" s="24"/>
      <c r="S85" s="24"/>
    </row>
    <row r="86" customFormat="false" ht="15" hidden="false" customHeight="false" outlineLevel="0" collapsed="false">
      <c r="A86" s="20" t="n">
        <v>85</v>
      </c>
      <c r="B86" s="25" t="s">
        <v>5</v>
      </c>
      <c r="C86" s="22" t="s">
        <v>27</v>
      </c>
      <c r="D86" s="20" t="s">
        <v>147</v>
      </c>
      <c r="E86" s="20" t="s">
        <v>861</v>
      </c>
      <c r="F86" s="20"/>
      <c r="G86" s="23" t="s">
        <v>148</v>
      </c>
      <c r="H86" s="20" t="s">
        <v>873</v>
      </c>
      <c r="I86" s="20" t="s">
        <v>874</v>
      </c>
      <c r="J86" s="20" t="s">
        <v>875</v>
      </c>
      <c r="K86" s="22" t="s">
        <v>876</v>
      </c>
      <c r="L86" s="22" t="s">
        <v>877</v>
      </c>
      <c r="M86" s="22" t="s">
        <v>328</v>
      </c>
      <c r="N86" s="20"/>
      <c r="O86" s="20" t="s">
        <v>878</v>
      </c>
      <c r="P86" s="24"/>
      <c r="Q86" s="24"/>
      <c r="R86" s="24"/>
      <c r="S86" s="24"/>
    </row>
    <row r="87" customFormat="false" ht="23.85" hidden="false" customHeight="false" outlineLevel="0" collapsed="false">
      <c r="A87" s="20" t="n">
        <v>86</v>
      </c>
      <c r="B87" s="26" t="s">
        <v>7</v>
      </c>
      <c r="C87" s="22" t="s">
        <v>27</v>
      </c>
      <c r="D87" s="20" t="s">
        <v>226</v>
      </c>
      <c r="E87" s="20" t="s">
        <v>853</v>
      </c>
      <c r="F87" s="20" t="s">
        <v>879</v>
      </c>
      <c r="G87" s="23" t="s">
        <v>880</v>
      </c>
      <c r="H87" s="20"/>
      <c r="I87" s="20" t="s">
        <v>881</v>
      </c>
      <c r="J87" s="20" t="s">
        <v>882</v>
      </c>
      <c r="K87" s="20" t="s">
        <v>883</v>
      </c>
      <c r="L87" s="22" t="s">
        <v>884</v>
      </c>
      <c r="M87" s="22" t="s">
        <v>455</v>
      </c>
      <c r="N87" s="22" t="s">
        <v>473</v>
      </c>
      <c r="O87" s="20" t="s">
        <v>885</v>
      </c>
      <c r="P87" s="24"/>
      <c r="Q87" s="24"/>
      <c r="R87" s="24"/>
      <c r="S87" s="24"/>
    </row>
    <row r="88" customFormat="false" ht="38.05" hidden="false" customHeight="false" outlineLevel="0" collapsed="false">
      <c r="A88" s="20" t="n">
        <v>87</v>
      </c>
      <c r="B88" s="21" t="s">
        <v>3</v>
      </c>
      <c r="C88" s="22" t="s">
        <v>28</v>
      </c>
      <c r="D88" s="20" t="s">
        <v>56</v>
      </c>
      <c r="E88" s="20" t="s">
        <v>886</v>
      </c>
      <c r="F88" s="20" t="s">
        <v>887</v>
      </c>
      <c r="G88" s="23" t="s">
        <v>57</v>
      </c>
      <c r="H88" s="20" t="s">
        <v>888</v>
      </c>
      <c r="I88" s="20" t="s">
        <v>887</v>
      </c>
      <c r="J88" s="22" t="s">
        <v>889</v>
      </c>
      <c r="K88" s="20" t="s">
        <v>890</v>
      </c>
      <c r="L88" s="22" t="s">
        <v>891</v>
      </c>
      <c r="M88" s="22" t="s">
        <v>298</v>
      </c>
      <c r="N88" s="22" t="s">
        <v>892</v>
      </c>
      <c r="O88" s="20" t="s">
        <v>893</v>
      </c>
      <c r="P88" s="24"/>
      <c r="Q88" s="24"/>
      <c r="R88" s="24"/>
      <c r="S88" s="24"/>
    </row>
    <row r="89" customFormat="false" ht="26.85" hidden="false" customHeight="false" outlineLevel="0" collapsed="false">
      <c r="A89" s="20" t="n">
        <v>88</v>
      </c>
      <c r="B89" s="25" t="s">
        <v>5</v>
      </c>
      <c r="C89" s="22" t="s">
        <v>23</v>
      </c>
      <c r="D89" s="20" t="s">
        <v>142</v>
      </c>
      <c r="E89" s="20" t="s">
        <v>894</v>
      </c>
      <c r="F89" s="20" t="s">
        <v>895</v>
      </c>
      <c r="G89" s="23" t="s">
        <v>896</v>
      </c>
      <c r="H89" s="20"/>
      <c r="I89" s="20" t="s">
        <v>897</v>
      </c>
      <c r="J89" s="22" t="s">
        <v>898</v>
      </c>
      <c r="K89" s="20" t="s">
        <v>899</v>
      </c>
      <c r="L89" s="22" t="s">
        <v>343</v>
      </c>
      <c r="M89" s="22" t="s">
        <v>900</v>
      </c>
      <c r="N89" s="20" t="s">
        <v>901</v>
      </c>
      <c r="O89" s="20" t="s">
        <v>902</v>
      </c>
      <c r="P89" s="24"/>
      <c r="Q89" s="24"/>
      <c r="R89" s="24"/>
      <c r="S89" s="24"/>
    </row>
    <row r="90" customFormat="false" ht="26.85" hidden="false" customHeight="false" outlineLevel="0" collapsed="false">
      <c r="A90" s="20" t="n">
        <v>89</v>
      </c>
      <c r="B90" s="25" t="s">
        <v>5</v>
      </c>
      <c r="C90" s="22" t="s">
        <v>28</v>
      </c>
      <c r="D90" s="20" t="s">
        <v>149</v>
      </c>
      <c r="E90" s="20" t="s">
        <v>903</v>
      </c>
      <c r="F90" s="20" t="s">
        <v>904</v>
      </c>
      <c r="G90" s="23" t="s">
        <v>150</v>
      </c>
      <c r="H90" s="20"/>
      <c r="I90" s="20" t="s">
        <v>905</v>
      </c>
      <c r="J90" s="20" t="s">
        <v>906</v>
      </c>
      <c r="K90" s="20" t="s">
        <v>907</v>
      </c>
      <c r="L90" s="20" t="s">
        <v>908</v>
      </c>
      <c r="M90" s="22" t="s">
        <v>328</v>
      </c>
      <c r="N90" s="20" t="s">
        <v>909</v>
      </c>
      <c r="O90" s="20" t="s">
        <v>910</v>
      </c>
      <c r="P90" s="24"/>
      <c r="Q90" s="24"/>
      <c r="R90" s="24"/>
      <c r="S90" s="24"/>
    </row>
    <row r="91" customFormat="false" ht="23.85" hidden="false" customHeight="false" outlineLevel="0" collapsed="false">
      <c r="A91" s="20" t="n">
        <v>90</v>
      </c>
      <c r="B91" s="25" t="s">
        <v>5</v>
      </c>
      <c r="C91" s="22" t="s">
        <v>28</v>
      </c>
      <c r="D91" s="20" t="s">
        <v>151</v>
      </c>
      <c r="E91" s="20" t="s">
        <v>903</v>
      </c>
      <c r="F91" s="20" t="s">
        <v>911</v>
      </c>
      <c r="G91" s="23" t="s">
        <v>152</v>
      </c>
      <c r="H91" s="20"/>
      <c r="I91" s="20" t="s">
        <v>912</v>
      </c>
      <c r="J91" s="20" t="s">
        <v>913</v>
      </c>
      <c r="K91" s="20" t="s">
        <v>914</v>
      </c>
      <c r="L91" s="22" t="s">
        <v>915</v>
      </c>
      <c r="M91" s="22" t="s">
        <v>328</v>
      </c>
      <c r="N91" s="20" t="s">
        <v>916</v>
      </c>
      <c r="O91" s="20" t="s">
        <v>917</v>
      </c>
      <c r="P91" s="24"/>
      <c r="Q91" s="24"/>
      <c r="R91" s="24"/>
      <c r="S91" s="24"/>
    </row>
    <row r="92" customFormat="false" ht="23.85" hidden="false" customHeight="false" outlineLevel="0" collapsed="false">
      <c r="A92" s="20" t="n">
        <v>91</v>
      </c>
      <c r="B92" s="25" t="s">
        <v>5</v>
      </c>
      <c r="C92" s="22" t="s">
        <v>28</v>
      </c>
      <c r="D92" s="20" t="s">
        <v>153</v>
      </c>
      <c r="E92" s="20" t="s">
        <v>903</v>
      </c>
      <c r="F92" s="20" t="s">
        <v>918</v>
      </c>
      <c r="G92" s="23" t="s">
        <v>919</v>
      </c>
      <c r="H92" s="20"/>
      <c r="I92" s="20" t="s">
        <v>920</v>
      </c>
      <c r="J92" s="20" t="s">
        <v>921</v>
      </c>
      <c r="K92" s="20" t="s">
        <v>922</v>
      </c>
      <c r="L92" s="22" t="s">
        <v>923</v>
      </c>
      <c r="M92" s="22" t="s">
        <v>328</v>
      </c>
      <c r="N92" s="22" t="s">
        <v>924</v>
      </c>
      <c r="O92" s="20" t="s">
        <v>925</v>
      </c>
      <c r="P92" s="24"/>
      <c r="Q92" s="24"/>
      <c r="R92" s="24"/>
      <c r="S92" s="24"/>
    </row>
    <row r="93" customFormat="false" ht="15" hidden="false" customHeight="false" outlineLevel="0" collapsed="false">
      <c r="A93" s="20" t="n">
        <v>92</v>
      </c>
      <c r="B93" s="25" t="s">
        <v>5</v>
      </c>
      <c r="C93" s="22" t="s">
        <v>28</v>
      </c>
      <c r="D93" s="20" t="s">
        <v>156</v>
      </c>
      <c r="E93" s="20" t="s">
        <v>903</v>
      </c>
      <c r="F93" s="20" t="s">
        <v>926</v>
      </c>
      <c r="G93" s="23" t="s">
        <v>157</v>
      </c>
      <c r="H93" s="20"/>
      <c r="I93" s="20" t="s">
        <v>927</v>
      </c>
      <c r="J93" s="20" t="s">
        <v>928</v>
      </c>
      <c r="K93" s="20" t="s">
        <v>929</v>
      </c>
      <c r="L93" s="22" t="s">
        <v>930</v>
      </c>
      <c r="M93" s="22" t="s">
        <v>328</v>
      </c>
      <c r="N93" s="22" t="s">
        <v>931</v>
      </c>
      <c r="O93" s="20" t="s">
        <v>932</v>
      </c>
      <c r="P93" s="24"/>
      <c r="Q93" s="24"/>
      <c r="R93" s="24"/>
      <c r="S93" s="24"/>
    </row>
    <row r="94" customFormat="false" ht="15" hidden="false" customHeight="false" outlineLevel="0" collapsed="false">
      <c r="A94" s="20" t="n">
        <v>93</v>
      </c>
      <c r="B94" s="25" t="s">
        <v>5</v>
      </c>
      <c r="C94" s="22" t="s">
        <v>28</v>
      </c>
      <c r="D94" s="20" t="s">
        <v>158</v>
      </c>
      <c r="E94" s="20" t="s">
        <v>903</v>
      </c>
      <c r="F94" s="20" t="s">
        <v>933</v>
      </c>
      <c r="G94" s="23" t="s">
        <v>159</v>
      </c>
      <c r="H94" s="20"/>
      <c r="I94" s="20" t="s">
        <v>934</v>
      </c>
      <c r="J94" s="20" t="s">
        <v>935</v>
      </c>
      <c r="K94" s="20" t="s">
        <v>936</v>
      </c>
      <c r="L94" s="22" t="s">
        <v>343</v>
      </c>
      <c r="M94" s="22" t="s">
        <v>328</v>
      </c>
      <c r="N94" s="22" t="s">
        <v>937</v>
      </c>
      <c r="O94" s="20" t="s">
        <v>938</v>
      </c>
      <c r="P94" s="24"/>
      <c r="Q94" s="24"/>
      <c r="R94" s="24"/>
      <c r="S94" s="24"/>
    </row>
    <row r="95" customFormat="false" ht="15" hidden="false" customHeight="false" outlineLevel="0" collapsed="false">
      <c r="A95" s="20" t="n">
        <v>94</v>
      </c>
      <c r="B95" s="26" t="s">
        <v>7</v>
      </c>
      <c r="C95" s="22" t="s">
        <v>28</v>
      </c>
      <c r="D95" s="20" t="s">
        <v>229</v>
      </c>
      <c r="E95" s="20" t="s">
        <v>939</v>
      </c>
      <c r="F95" s="20" t="s">
        <v>940</v>
      </c>
      <c r="G95" s="23" t="s">
        <v>230</v>
      </c>
      <c r="H95" s="20"/>
      <c r="I95" s="20" t="s">
        <v>941</v>
      </c>
      <c r="J95" s="20" t="s">
        <v>942</v>
      </c>
      <c r="K95" s="20" t="s">
        <v>943</v>
      </c>
      <c r="L95" s="22" t="s">
        <v>372</v>
      </c>
      <c r="M95" s="22" t="s">
        <v>356</v>
      </c>
      <c r="N95" s="22" t="s">
        <v>944</v>
      </c>
      <c r="O95" s="20" t="s">
        <v>945</v>
      </c>
      <c r="P95" s="24"/>
      <c r="Q95" s="24"/>
      <c r="R95" s="24"/>
      <c r="S95" s="24"/>
    </row>
    <row r="96" customFormat="false" ht="15" hidden="false" customHeight="false" outlineLevel="0" collapsed="false">
      <c r="A96" s="20" t="n">
        <v>95</v>
      </c>
      <c r="B96" s="26" t="s">
        <v>7</v>
      </c>
      <c r="C96" s="22" t="s">
        <v>28</v>
      </c>
      <c r="D96" s="20" t="s">
        <v>231</v>
      </c>
      <c r="E96" s="20" t="s">
        <v>903</v>
      </c>
      <c r="F96" s="20" t="s">
        <v>946</v>
      </c>
      <c r="G96" s="23" t="s">
        <v>232</v>
      </c>
      <c r="H96" s="20"/>
      <c r="I96" s="20" t="s">
        <v>946</v>
      </c>
      <c r="J96" s="20" t="s">
        <v>947</v>
      </c>
      <c r="K96" s="20" t="s">
        <v>948</v>
      </c>
      <c r="L96" s="22" t="s">
        <v>404</v>
      </c>
      <c r="M96" s="22" t="s">
        <v>356</v>
      </c>
      <c r="N96" s="22" t="s">
        <v>509</v>
      </c>
      <c r="O96" s="20" t="s">
        <v>949</v>
      </c>
      <c r="P96" s="24"/>
      <c r="Q96" s="24"/>
      <c r="R96" s="24"/>
      <c r="S96" s="24"/>
    </row>
    <row r="97" customFormat="false" ht="35.05" hidden="false" customHeight="false" outlineLevel="0" collapsed="false">
      <c r="A97" s="20" t="n">
        <v>96</v>
      </c>
      <c r="B97" s="26" t="s">
        <v>7</v>
      </c>
      <c r="C97" s="22" t="s">
        <v>28</v>
      </c>
      <c r="D97" s="20" t="s">
        <v>233</v>
      </c>
      <c r="E97" s="20" t="s">
        <v>950</v>
      </c>
      <c r="F97" s="20"/>
      <c r="G97" s="23" t="s">
        <v>234</v>
      </c>
      <c r="H97" s="20"/>
      <c r="I97" s="20" t="s">
        <v>951</v>
      </c>
      <c r="J97" s="20" t="s">
        <v>952</v>
      </c>
      <c r="K97" s="20" t="s">
        <v>953</v>
      </c>
      <c r="L97" s="22" t="s">
        <v>954</v>
      </c>
      <c r="M97" s="22" t="s">
        <v>455</v>
      </c>
      <c r="N97" s="22" t="s">
        <v>955</v>
      </c>
      <c r="O97" s="20" t="s">
        <v>956</v>
      </c>
      <c r="P97" s="24"/>
      <c r="Q97" s="24"/>
      <c r="R97" s="24"/>
      <c r="S97" s="24"/>
    </row>
    <row r="98" customFormat="false" ht="23.85" hidden="false" customHeight="false" outlineLevel="0" collapsed="false">
      <c r="A98" s="20" t="n">
        <v>97</v>
      </c>
      <c r="B98" s="21" t="s">
        <v>3</v>
      </c>
      <c r="C98" s="22" t="s">
        <v>29</v>
      </c>
      <c r="D98" s="20" t="s">
        <v>67</v>
      </c>
      <c r="E98" s="20" t="s">
        <v>957</v>
      </c>
      <c r="F98" s="20" t="s">
        <v>958</v>
      </c>
      <c r="G98" s="23" t="s">
        <v>959</v>
      </c>
      <c r="H98" s="20"/>
      <c r="I98" s="20" t="s">
        <v>960</v>
      </c>
      <c r="J98" s="20" t="s">
        <v>961</v>
      </c>
      <c r="K98" s="20" t="s">
        <v>962</v>
      </c>
      <c r="L98" s="22" t="s">
        <v>963</v>
      </c>
      <c r="M98" s="22" t="s">
        <v>298</v>
      </c>
      <c r="N98" s="20" t="s">
        <v>964</v>
      </c>
      <c r="O98" s="20" t="s">
        <v>965</v>
      </c>
      <c r="P98" s="24"/>
      <c r="Q98" s="24"/>
      <c r="R98" s="24"/>
      <c r="S98" s="24"/>
    </row>
    <row r="99" customFormat="false" ht="26.85" hidden="false" customHeight="false" outlineLevel="0" collapsed="false">
      <c r="A99" s="20" t="n">
        <v>98</v>
      </c>
      <c r="B99" s="21" t="s">
        <v>3</v>
      </c>
      <c r="C99" s="22" t="s">
        <v>29</v>
      </c>
      <c r="D99" s="20" t="s">
        <v>70</v>
      </c>
      <c r="E99" s="20" t="s">
        <v>966</v>
      </c>
      <c r="F99" s="20" t="s">
        <v>967</v>
      </c>
      <c r="G99" s="23" t="s">
        <v>968</v>
      </c>
      <c r="H99" s="20" t="s">
        <v>969</v>
      </c>
      <c r="I99" s="20" t="s">
        <v>967</v>
      </c>
      <c r="J99" s="20" t="s">
        <v>970</v>
      </c>
      <c r="K99" s="22" t="s">
        <v>971</v>
      </c>
      <c r="L99" s="22" t="s">
        <v>963</v>
      </c>
      <c r="M99" s="22" t="s">
        <v>298</v>
      </c>
      <c r="N99" s="20" t="s">
        <v>972</v>
      </c>
      <c r="O99" s="20" t="s">
        <v>973</v>
      </c>
      <c r="P99" s="24"/>
      <c r="Q99" s="24"/>
      <c r="R99" s="24"/>
      <c r="S99" s="24"/>
    </row>
    <row r="100" customFormat="false" ht="15" hidden="false" customHeight="false" outlineLevel="0" collapsed="false">
      <c r="A100" s="20" t="n">
        <v>99</v>
      </c>
      <c r="B100" s="25" t="s">
        <v>5</v>
      </c>
      <c r="C100" s="22" t="s">
        <v>29</v>
      </c>
      <c r="D100" s="20" t="s">
        <v>172</v>
      </c>
      <c r="E100" s="20" t="s">
        <v>966</v>
      </c>
      <c r="F100" s="20" t="s">
        <v>974</v>
      </c>
      <c r="G100" s="23" t="s">
        <v>173</v>
      </c>
      <c r="H100" s="20" t="s">
        <v>975</v>
      </c>
      <c r="I100" s="22" t="s">
        <v>295</v>
      </c>
      <c r="J100" s="20"/>
      <c r="K100" s="20" t="s">
        <v>976</v>
      </c>
      <c r="L100" s="22" t="s">
        <v>923</v>
      </c>
      <c r="M100" s="22" t="s">
        <v>328</v>
      </c>
      <c r="N100" s="22" t="s">
        <v>977</v>
      </c>
      <c r="O100" s="20" t="s">
        <v>978</v>
      </c>
      <c r="P100" s="24"/>
      <c r="Q100" s="24"/>
      <c r="R100" s="24"/>
      <c r="S100" s="24"/>
    </row>
    <row r="101" customFormat="false" ht="15" hidden="false" customHeight="false" outlineLevel="0" collapsed="false">
      <c r="A101" s="20" t="n">
        <v>100</v>
      </c>
      <c r="B101" s="26" t="s">
        <v>7</v>
      </c>
      <c r="C101" s="22" t="s">
        <v>29</v>
      </c>
      <c r="D101" s="20" t="s">
        <v>245</v>
      </c>
      <c r="E101" s="20" t="s">
        <v>966</v>
      </c>
      <c r="F101" s="20" t="s">
        <v>979</v>
      </c>
      <c r="G101" s="23" t="s">
        <v>246</v>
      </c>
      <c r="H101" s="20"/>
      <c r="I101" s="20" t="s">
        <v>980</v>
      </c>
      <c r="J101" s="20" t="s">
        <v>981</v>
      </c>
      <c r="K101" s="22" t="s">
        <v>982</v>
      </c>
      <c r="L101" s="22" t="s">
        <v>983</v>
      </c>
      <c r="M101" s="22" t="s">
        <v>356</v>
      </c>
      <c r="N101" s="22" t="s">
        <v>984</v>
      </c>
      <c r="O101" s="20" t="s">
        <v>985</v>
      </c>
      <c r="P101" s="24"/>
      <c r="Q101" s="24"/>
      <c r="R101" s="24"/>
      <c r="S101" s="24"/>
    </row>
    <row r="102" customFormat="false" ht="15" hidden="false" customHeight="false" outlineLevel="0" collapsed="false">
      <c r="A102" s="20" t="n">
        <v>101</v>
      </c>
      <c r="B102" s="26" t="s">
        <v>7</v>
      </c>
      <c r="C102" s="22" t="s">
        <v>29</v>
      </c>
      <c r="D102" s="20" t="s">
        <v>247</v>
      </c>
      <c r="E102" s="20" t="s">
        <v>966</v>
      </c>
      <c r="F102" s="20"/>
      <c r="G102" s="23" t="s">
        <v>248</v>
      </c>
      <c r="H102" s="20"/>
      <c r="I102" s="20" t="s">
        <v>986</v>
      </c>
      <c r="J102" s="20" t="s">
        <v>987</v>
      </c>
      <c r="K102" s="20" t="s">
        <v>988</v>
      </c>
      <c r="L102" s="22" t="s">
        <v>349</v>
      </c>
      <c r="M102" s="22" t="s">
        <v>455</v>
      </c>
      <c r="N102" s="22" t="s">
        <v>989</v>
      </c>
      <c r="O102" s="20" t="s">
        <v>990</v>
      </c>
      <c r="P102" s="24"/>
      <c r="Q102" s="24"/>
      <c r="R102" s="24"/>
      <c r="S102" s="24"/>
    </row>
    <row r="103" customFormat="false" ht="26.85" hidden="false" customHeight="false" outlineLevel="0" collapsed="false">
      <c r="A103" s="20" t="n">
        <v>102</v>
      </c>
      <c r="B103" s="21" t="s">
        <v>3</v>
      </c>
      <c r="C103" s="22" t="s">
        <v>30</v>
      </c>
      <c r="D103" s="20" t="s">
        <v>95</v>
      </c>
      <c r="E103" s="20" t="s">
        <v>991</v>
      </c>
      <c r="F103" s="20" t="s">
        <v>992</v>
      </c>
      <c r="G103" s="23" t="s">
        <v>96</v>
      </c>
      <c r="H103" s="20" t="s">
        <v>993</v>
      </c>
      <c r="I103" s="22" t="s">
        <v>295</v>
      </c>
      <c r="J103" s="20"/>
      <c r="K103" s="20" t="s">
        <v>994</v>
      </c>
      <c r="L103" s="22" t="s">
        <v>995</v>
      </c>
      <c r="M103" s="22" t="s">
        <v>298</v>
      </c>
      <c r="N103" s="22" t="s">
        <v>996</v>
      </c>
      <c r="O103" s="20" t="s">
        <v>997</v>
      </c>
      <c r="P103" s="24"/>
      <c r="Q103" s="24"/>
      <c r="R103" s="24"/>
      <c r="S103" s="24"/>
    </row>
    <row r="104" customFormat="false" ht="25.35" hidden="false" customHeight="false" outlineLevel="0" collapsed="false">
      <c r="A104" s="20" t="n">
        <v>103</v>
      </c>
      <c r="B104" s="21" t="s">
        <v>3</v>
      </c>
      <c r="C104" s="22" t="s">
        <v>30</v>
      </c>
      <c r="D104" s="20" t="s">
        <v>97</v>
      </c>
      <c r="E104" s="20" t="s">
        <v>991</v>
      </c>
      <c r="F104" s="20" t="s">
        <v>998</v>
      </c>
      <c r="G104" s="23" t="s">
        <v>98</v>
      </c>
      <c r="H104" s="20" t="s">
        <v>999</v>
      </c>
      <c r="I104" s="22" t="s">
        <v>295</v>
      </c>
      <c r="J104" s="20"/>
      <c r="K104" s="20" t="s">
        <v>1000</v>
      </c>
      <c r="L104" s="20" t="s">
        <v>1001</v>
      </c>
      <c r="M104" s="22" t="s">
        <v>313</v>
      </c>
      <c r="N104" s="22" t="s">
        <v>1002</v>
      </c>
      <c r="O104" s="20" t="s">
        <v>1003</v>
      </c>
      <c r="P104" s="24"/>
      <c r="Q104" s="24"/>
      <c r="R104" s="24"/>
      <c r="S104" s="24"/>
    </row>
    <row r="105" customFormat="false" ht="23.85" hidden="false" customHeight="false" outlineLevel="0" collapsed="false">
      <c r="A105" s="20" t="n">
        <v>104</v>
      </c>
      <c r="B105" s="26" t="s">
        <v>7</v>
      </c>
      <c r="C105" s="22" t="s">
        <v>30</v>
      </c>
      <c r="D105" s="20" t="s">
        <v>266</v>
      </c>
      <c r="E105" s="20" t="s">
        <v>1004</v>
      </c>
      <c r="F105" s="20" t="s">
        <v>1005</v>
      </c>
      <c r="G105" s="23" t="s">
        <v>1006</v>
      </c>
      <c r="H105" s="20"/>
      <c r="I105" s="20" t="s">
        <v>1007</v>
      </c>
      <c r="J105" s="20" t="s">
        <v>1008</v>
      </c>
      <c r="K105" s="20" t="s">
        <v>1009</v>
      </c>
      <c r="L105" s="20" t="s">
        <v>1010</v>
      </c>
      <c r="M105" s="22" t="s">
        <v>356</v>
      </c>
      <c r="N105" s="22" t="s">
        <v>1011</v>
      </c>
      <c r="O105" s="20" t="s">
        <v>1012</v>
      </c>
      <c r="P105" s="24"/>
      <c r="Q105" s="24"/>
      <c r="R105" s="24"/>
      <c r="S105" s="24"/>
    </row>
    <row r="106" customFormat="false" ht="15" hidden="false" customHeight="false" outlineLevel="0" collapsed="false">
      <c r="A106" s="20" t="n">
        <v>105</v>
      </c>
      <c r="B106" s="26" t="s">
        <v>7</v>
      </c>
      <c r="C106" s="22" t="s">
        <v>30</v>
      </c>
      <c r="D106" s="20" t="s">
        <v>269</v>
      </c>
      <c r="E106" s="20" t="s">
        <v>991</v>
      </c>
      <c r="F106" s="20"/>
      <c r="G106" s="23" t="s">
        <v>270</v>
      </c>
      <c r="H106" s="20"/>
      <c r="I106" s="20" t="s">
        <v>1013</v>
      </c>
      <c r="J106" s="20" t="s">
        <v>1014</v>
      </c>
      <c r="K106" s="20" t="s">
        <v>988</v>
      </c>
      <c r="L106" s="22" t="s">
        <v>349</v>
      </c>
      <c r="M106" s="22" t="s">
        <v>455</v>
      </c>
      <c r="N106" s="22" t="s">
        <v>989</v>
      </c>
      <c r="O106" s="20" t="s">
        <v>1015</v>
      </c>
      <c r="P106" s="24"/>
      <c r="Q106" s="24"/>
      <c r="R106" s="24"/>
      <c r="S106" s="24"/>
    </row>
  </sheetData>
  <autoFilter ref="A1:S106"/>
  <dataValidations count="1">
    <dataValidation allowBlank="true" errorStyle="stop" operator="between" showDropDown="false" showErrorMessage="false" showInputMessage="false" sqref="Q2:Q106" type="list">
      <formula1>"미접촉,메일발송,회신,샘플/견적,협상,계약,보류,거절"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4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3" t="s">
        <v>10</v>
      </c>
      <c r="B1" s="13" t="s">
        <v>1016</v>
      </c>
      <c r="C1" s="13" t="s">
        <v>1017</v>
      </c>
      <c r="D1" s="13" t="s">
        <v>1018</v>
      </c>
    </row>
    <row r="2" customFormat="false" ht="26.85" hidden="false" customHeight="false" outlineLevel="0" collapsed="false">
      <c r="A2" s="22" t="s">
        <v>13</v>
      </c>
      <c r="B2" s="20" t="s">
        <v>1019</v>
      </c>
      <c r="C2" s="20" t="s">
        <v>1020</v>
      </c>
      <c r="D2" s="20" t="s">
        <v>1021</v>
      </c>
    </row>
    <row r="3" customFormat="false" ht="26.85" hidden="false" customHeight="false" outlineLevel="0" collapsed="false">
      <c r="A3" s="22" t="s">
        <v>14</v>
      </c>
      <c r="B3" s="20" t="s">
        <v>1022</v>
      </c>
      <c r="C3" s="20" t="s">
        <v>1023</v>
      </c>
      <c r="D3" s="22" t="s">
        <v>1024</v>
      </c>
    </row>
    <row r="4" customFormat="false" ht="15" hidden="false" customHeight="false" outlineLevel="0" collapsed="false">
      <c r="A4" s="22" t="s">
        <v>15</v>
      </c>
      <c r="B4" s="22" t="s">
        <v>1025</v>
      </c>
      <c r="C4" s="20" t="s">
        <v>1026</v>
      </c>
      <c r="D4" s="20"/>
    </row>
    <row r="5" customFormat="false" ht="15" hidden="false" customHeight="false" outlineLevel="0" collapsed="false">
      <c r="A5" s="22" t="s">
        <v>16</v>
      </c>
      <c r="B5" s="20" t="s">
        <v>1027</v>
      </c>
      <c r="C5" s="20" t="s">
        <v>1028</v>
      </c>
      <c r="D5" s="20" t="s">
        <v>1029</v>
      </c>
    </row>
    <row r="6" customFormat="false" ht="15" hidden="false" customHeight="false" outlineLevel="0" collapsed="false">
      <c r="A6" s="22" t="s">
        <v>17</v>
      </c>
      <c r="B6" s="22" t="s">
        <v>1030</v>
      </c>
      <c r="C6" s="20" t="s">
        <v>1031</v>
      </c>
      <c r="D6" s="20"/>
    </row>
    <row r="7" customFormat="false" ht="15" hidden="false" customHeight="false" outlineLevel="0" collapsed="false">
      <c r="A7" s="22" t="s">
        <v>18</v>
      </c>
      <c r="B7" s="20" t="s">
        <v>1032</v>
      </c>
      <c r="C7" s="20" t="s">
        <v>1033</v>
      </c>
      <c r="D7" s="20"/>
    </row>
    <row r="8" customFormat="false" ht="26.85" hidden="false" customHeight="false" outlineLevel="0" collapsed="false">
      <c r="A8" s="22" t="s">
        <v>19</v>
      </c>
      <c r="B8" s="20" t="s">
        <v>1034</v>
      </c>
      <c r="C8" s="20" t="s">
        <v>1035</v>
      </c>
      <c r="D8" s="20"/>
    </row>
    <row r="9" customFormat="false" ht="26.85" hidden="false" customHeight="false" outlineLevel="0" collapsed="false">
      <c r="A9" s="22" t="s">
        <v>20</v>
      </c>
      <c r="B9" s="20" t="s">
        <v>1036</v>
      </c>
      <c r="C9" s="20" t="s">
        <v>1037</v>
      </c>
      <c r="D9" s="20" t="s">
        <v>1038</v>
      </c>
    </row>
    <row r="10" customFormat="false" ht="26.85" hidden="false" customHeight="false" outlineLevel="0" collapsed="false">
      <c r="A10" s="22" t="s">
        <v>21</v>
      </c>
      <c r="B10" s="20" t="s">
        <v>1039</v>
      </c>
      <c r="C10" s="20" t="s">
        <v>1040</v>
      </c>
      <c r="D10" s="20"/>
    </row>
    <row r="11" customFormat="false" ht="26.85" hidden="false" customHeight="false" outlineLevel="0" collapsed="false">
      <c r="A11" s="22" t="s">
        <v>22</v>
      </c>
      <c r="B11" s="20" t="s">
        <v>1041</v>
      </c>
      <c r="C11" s="20" t="s">
        <v>1042</v>
      </c>
      <c r="D11" s="22" t="s">
        <v>1043</v>
      </c>
    </row>
    <row r="12" customFormat="false" ht="26.85" hidden="false" customHeight="false" outlineLevel="0" collapsed="false">
      <c r="A12" s="22" t="s">
        <v>23</v>
      </c>
      <c r="B12" s="20" t="s">
        <v>1044</v>
      </c>
      <c r="C12" s="20" t="s">
        <v>1045</v>
      </c>
      <c r="D12" s="22" t="s">
        <v>1046</v>
      </c>
    </row>
    <row r="13" customFormat="false" ht="15" hidden="false" customHeight="false" outlineLevel="0" collapsed="false">
      <c r="A13" s="22" t="s">
        <v>24</v>
      </c>
      <c r="B13" s="22" t="s">
        <v>1047</v>
      </c>
      <c r="C13" s="20" t="s">
        <v>1048</v>
      </c>
      <c r="D13" s="20" t="s">
        <v>1049</v>
      </c>
    </row>
    <row r="14" customFormat="false" ht="26.85" hidden="false" customHeight="false" outlineLevel="0" collapsed="false">
      <c r="A14" s="22" t="s">
        <v>1050</v>
      </c>
      <c r="B14" s="22" t="s">
        <v>1051</v>
      </c>
      <c r="C14" s="20" t="s">
        <v>1052</v>
      </c>
      <c r="D14" s="22" t="s">
        <v>1053</v>
      </c>
    </row>
    <row r="15" customFormat="false" ht="38.05" hidden="false" customHeight="false" outlineLevel="0" collapsed="false">
      <c r="A15" s="22" t="s">
        <v>25</v>
      </c>
      <c r="B15" s="20" t="s">
        <v>1054</v>
      </c>
      <c r="C15" s="20" t="s">
        <v>1055</v>
      </c>
      <c r="D15" s="20" t="s">
        <v>1056</v>
      </c>
    </row>
    <row r="16" customFormat="false" ht="26.85" hidden="false" customHeight="false" outlineLevel="0" collapsed="false">
      <c r="A16" s="22" t="s">
        <v>26</v>
      </c>
      <c r="B16" s="22" t="s">
        <v>1057</v>
      </c>
      <c r="C16" s="20" t="s">
        <v>1058</v>
      </c>
      <c r="D16" s="20"/>
    </row>
    <row r="17" customFormat="false" ht="26.85" hidden="false" customHeight="false" outlineLevel="0" collapsed="false">
      <c r="A17" s="22" t="s">
        <v>27</v>
      </c>
      <c r="B17" s="20" t="s">
        <v>1059</v>
      </c>
      <c r="C17" s="20" t="s">
        <v>1060</v>
      </c>
      <c r="D17" s="22" t="s">
        <v>1061</v>
      </c>
    </row>
    <row r="18" customFormat="false" ht="26.85" hidden="false" customHeight="false" outlineLevel="0" collapsed="false">
      <c r="A18" s="22" t="s">
        <v>28</v>
      </c>
      <c r="B18" s="20" t="s">
        <v>1062</v>
      </c>
      <c r="C18" s="20" t="s">
        <v>1063</v>
      </c>
      <c r="D18" s="22" t="s">
        <v>1064</v>
      </c>
    </row>
    <row r="19" customFormat="false" ht="15" hidden="false" customHeight="false" outlineLevel="0" collapsed="false">
      <c r="A19" s="22" t="s">
        <v>29</v>
      </c>
      <c r="B19" s="20" t="s">
        <v>1065</v>
      </c>
      <c r="C19" s="20" t="s">
        <v>1066</v>
      </c>
      <c r="D19" s="22" t="s">
        <v>1067</v>
      </c>
    </row>
    <row r="20" customFormat="false" ht="15" hidden="false" customHeight="false" outlineLevel="0" collapsed="false">
      <c r="A20" s="22" t="s">
        <v>30</v>
      </c>
      <c r="B20" s="20" t="s">
        <v>1068</v>
      </c>
      <c r="C20" s="20" t="s">
        <v>1069</v>
      </c>
      <c r="D20" s="20" t="s">
        <v>1070</v>
      </c>
    </row>
    <row r="21" customFormat="false" ht="26.85" hidden="false" customHeight="false" outlineLevel="0" collapsed="false">
      <c r="A21" s="22" t="s">
        <v>1071</v>
      </c>
      <c r="B21" s="20" t="s">
        <v>1072</v>
      </c>
      <c r="C21" s="20" t="s">
        <v>1052</v>
      </c>
      <c r="D21" s="22" t="s">
        <v>1073</v>
      </c>
    </row>
    <row r="23" customFormat="false" ht="15" hidden="false" customHeight="false" outlineLevel="0" collapsed="false">
      <c r="A23" s="3" t="s">
        <v>1074</v>
      </c>
    </row>
    <row r="24" customFormat="false" ht="15" hidden="false" customHeight="false" outlineLevel="0" collapsed="false">
      <c r="A24" s="5" t="s">
        <v>1075</v>
      </c>
      <c r="B24" s="5" t="s">
        <v>1076</v>
      </c>
    </row>
    <row r="25" customFormat="false" ht="15" hidden="false" customHeight="false" outlineLevel="0" collapsed="false">
      <c r="A25" s="5" t="s">
        <v>1075</v>
      </c>
      <c r="B25" s="5" t="s">
        <v>1077</v>
      </c>
    </row>
    <row r="26" customFormat="false" ht="15" hidden="false" customHeight="false" outlineLevel="0" collapsed="false">
      <c r="A26" s="5" t="s">
        <v>1075</v>
      </c>
      <c r="B26" s="8" t="s">
        <v>1078</v>
      </c>
    </row>
    <row r="27" customFormat="false" ht="15" hidden="false" customHeight="false" outlineLevel="0" collapsed="false">
      <c r="A27" s="5" t="s">
        <v>1075</v>
      </c>
      <c r="B27" s="8" t="s">
        <v>1079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2026-10-09T00:11:44Z</dcterms:created>
  <dc:creator>openpyxl</dc:creator>
  <dc:description/>
  <dc:language>en-US</dc:language>
  <cp:lastModifiedBy/>
  <dcterms:modified xsi:type="dcterms:W3CDTF">2026-10-09T00:11:44Z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